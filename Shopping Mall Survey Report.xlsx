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9C14D8B0-44A0-46C0-A651-9A7452BC4317}" xr6:coauthVersionLast="36" xr6:coauthVersionMax="47" xr10:uidLastSave="{00000000-0000-0000-0000-000000000000}"/>
  <bookViews>
    <workbookView xWindow="0" yWindow="0" windowWidth="23040" windowHeight="9060" activeTab="1" xr2:uid="{2DD2C0BB-3D1E-462C-9C74-F01148DBB132}"/>
  </bookViews>
  <sheets>
    <sheet name="Data" sheetId="2" r:id="rId1"/>
    <sheet name="Shopping Mall Survey Report" sheetId="16" r:id="rId2"/>
    <sheet name="KPI" sheetId="4" r:id="rId3"/>
    <sheet name="Gender VS Avg Spending Score" sheetId="8" r:id="rId4"/>
    <sheet name="Gender wise spending and income" sheetId="9" r:id="rId5"/>
    <sheet name="Year-wise spending and income" sheetId="11" r:id="rId6"/>
    <sheet name="Day wise Men-female spending " sheetId="13" r:id="rId7"/>
    <sheet name="Customer preferred day of shopp" sheetId="15" r:id="rId8"/>
    <sheet name="Gender VS Avg Spending Scor (2)" sheetId="17" r:id="rId9"/>
  </sheets>
  <definedNames>
    <definedName name="Slicer_Gender">#N/A</definedName>
    <definedName name="Slicer_Preferred_day_shopping">#N/A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4" l="1"/>
  <c r="E10" i="4"/>
  <c r="D10" i="4"/>
  <c r="B10" i="4"/>
  <c r="C10" i="4"/>
</calcChain>
</file>

<file path=xl/sharedStrings.xml><?xml version="1.0" encoding="utf-8"?>
<sst xmlns="http://schemas.openxmlformats.org/spreadsheetml/2006/main" count="484" uniqueCount="56">
  <si>
    <t>Age</t>
  </si>
  <si>
    <t>Male</t>
  </si>
  <si>
    <t>Female</t>
  </si>
  <si>
    <t>CustomerID</t>
  </si>
  <si>
    <t>Gender</t>
  </si>
  <si>
    <t>Annual Income (k$)</t>
  </si>
  <si>
    <t>Average of Age</t>
  </si>
  <si>
    <t>Sum of Annual Income (k$)</t>
  </si>
  <si>
    <t>Average of Annual Income (k$)</t>
  </si>
  <si>
    <t>Average of Spending Score (1-100)</t>
  </si>
  <si>
    <t>Count of CustomerID</t>
  </si>
  <si>
    <t xml:space="preserve">Preferred day shopping </t>
  </si>
  <si>
    <t>Feedback rating (1-10)</t>
  </si>
  <si>
    <t xml:space="preserve">Started year </t>
  </si>
  <si>
    <t>Monday</t>
  </si>
  <si>
    <t>Tuesday</t>
  </si>
  <si>
    <t>Thursday</t>
  </si>
  <si>
    <t>Sunday</t>
  </si>
  <si>
    <t>Saturday</t>
  </si>
  <si>
    <t>Wednesday</t>
  </si>
  <si>
    <t>Friday</t>
  </si>
  <si>
    <t>Average of Feedback rating (1-10)</t>
  </si>
  <si>
    <t>Row Labels</t>
  </si>
  <si>
    <t>Grand Total</t>
  </si>
  <si>
    <t>Column Labels</t>
  </si>
  <si>
    <t>Values</t>
  </si>
  <si>
    <t>1985-1986</t>
  </si>
  <si>
    <t>1987-1988</t>
  </si>
  <si>
    <t>1989-1990</t>
  </si>
  <si>
    <t>1991-1992</t>
  </si>
  <si>
    <t>1993-1994</t>
  </si>
  <si>
    <t>1995-1996</t>
  </si>
  <si>
    <t>1997-1998</t>
  </si>
  <si>
    <t>1999-2000</t>
  </si>
  <si>
    <t>2001-2002</t>
  </si>
  <si>
    <t>2003-2004</t>
  </si>
  <si>
    <t>2005-2006</t>
  </si>
  <si>
    <t>2009-2010</t>
  </si>
  <si>
    <t>2011-2012</t>
  </si>
  <si>
    <t>2013-2014</t>
  </si>
  <si>
    <t>2015-2016</t>
  </si>
  <si>
    <t>2017-2018</t>
  </si>
  <si>
    <t>2019-2020</t>
  </si>
  <si>
    <t>2021-2022</t>
  </si>
  <si>
    <t>2023-2024</t>
  </si>
  <si>
    <t>2025-2026</t>
  </si>
  <si>
    <t>Total Customers</t>
  </si>
  <si>
    <t>Avg Income</t>
  </si>
  <si>
    <t>Avg Spending Score</t>
  </si>
  <si>
    <t>Avg Age</t>
  </si>
  <si>
    <t>Avg Feedback Rating</t>
  </si>
  <si>
    <t>2007-2008</t>
  </si>
  <si>
    <t>Spending in (k$)</t>
  </si>
  <si>
    <t>Average of Spending (k$)</t>
  </si>
  <si>
    <t>Sum of Spending (K$)</t>
  </si>
  <si>
    <t>Sum of Spending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</si>
</sst>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center" vertical="center"/>
    </xf>
    <xf numFmtId="0" fontId="0" fillId="0" borderId="0" xfId="0" applyAlignment="1">
      <alignment horizontal="center"/>
    </xf>
    <xf numFmtId="0" fontId="0" fillId="0" borderId="0" xfId="0" applyNumberFormat="1"/>
    <xf numFmtId="164" fontId="0" fillId="0" borderId="0" xfId="0" applyNumberFormat="1"/>
  </cellXfs>
  <cellStyles count="1">
    <cellStyle name="Normal" xfId="0" builtinId="0"/>
  </cellStyles>
  <dxfs count="180">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2" formatCode="0.00"/>
    </dxf>
    <dxf>
      <numFmt numFmtId="1" formatCode="0"/>
    </dxf>
    <dxf>
      <numFmt numFmtId="164" formatCode="0.0"/>
    </dxf>
    <dxf>
      <numFmt numFmtId="1" formatCode="0"/>
    </dxf>
    <dxf>
      <numFmt numFmtId="2" formatCode="0.00"/>
    </dxf>
    <dxf>
      <numFmt numFmtId="169" formatCode="0.000"/>
    </dxf>
    <dxf>
      <numFmt numFmtId="1" formatCode="0"/>
    </dxf>
    <dxf>
      <numFmt numFmtId="164" formatCode="0.0"/>
    </dxf>
    <dxf>
      <numFmt numFmtId="1" formatCode="0"/>
    </dxf>
    <dxf>
      <numFmt numFmtId="169" formatCode="0.000"/>
    </dxf>
    <dxf>
      <numFmt numFmtId="168" formatCode="0.0000"/>
    </dxf>
    <dxf>
      <numFmt numFmtId="1" formatCode="0"/>
    </dxf>
    <dxf>
      <numFmt numFmtId="164" formatCode="0.0"/>
    </dxf>
    <dxf>
      <numFmt numFmtId="1" formatCode="0"/>
    </dxf>
    <dxf>
      <numFmt numFmtId="168" formatCode="0.0000"/>
    </dxf>
    <dxf>
      <numFmt numFmtId="167" formatCode="0.00000"/>
    </dxf>
    <dxf>
      <numFmt numFmtId="1" formatCode="0"/>
    </dxf>
    <dxf>
      <numFmt numFmtId="164" formatCode="0.0"/>
    </dxf>
    <dxf>
      <numFmt numFmtId="1" formatCode="0"/>
    </dxf>
    <dxf>
      <numFmt numFmtId="167" formatCode="0.00000"/>
    </dxf>
    <dxf>
      <numFmt numFmtId="166" formatCode="0.000000"/>
    </dxf>
    <dxf>
      <numFmt numFmtId="1" formatCode="0"/>
    </dxf>
    <dxf>
      <numFmt numFmtId="164" formatCode="0.0"/>
    </dxf>
    <dxf>
      <numFmt numFmtId="1" formatCode="0"/>
    </dxf>
    <dxf>
      <numFmt numFmtId="166" formatCode="0.000000"/>
    </dxf>
    <dxf>
      <numFmt numFmtId="165" formatCode="0.0000000"/>
    </dxf>
    <dxf>
      <numFmt numFmtId="1" formatCode="0"/>
    </dxf>
    <dxf>
      <numFmt numFmtId="164" formatCode="0.0"/>
    </dxf>
    <dxf>
      <numFmt numFmtId="1" formatCode="0"/>
    </dxf>
    <dxf>
      <numFmt numFmtId="165" formatCode="0.00000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theme="0"/>
        <name val="Aptos Narrow"/>
        <family val="2"/>
        <scheme val="minor"/>
      </font>
      <fill>
        <patternFill>
          <bgColor theme="4"/>
        </patternFill>
      </fill>
      <border diagonalUp="0" diagonalDown="0">
        <left style="medium">
          <color auto="1"/>
        </left>
        <right style="medium">
          <color auto="1"/>
        </right>
        <top style="medium">
          <color auto="1"/>
        </top>
        <bottom style="medium">
          <color auto="1"/>
        </bottom>
        <vertical/>
        <horizontal/>
      </border>
    </dxf>
  </dxfs>
  <tableStyles count="1" defaultTableStyle="TableStyleMedium2" defaultPivotStyle="PivotStyleLight16">
    <tableStyle name="Slicer Style 1" pivot="0" table="0" count="2" xr9:uid="{F43ED429-2616-4329-87EA-A59EB69BB8DF}">
      <tableStyleElement type="wholeTable" dxfId="179"/>
    </tableStyle>
  </tableStyles>
  <extLst>
    <ext xmlns:x14="http://schemas.microsoft.com/office/spreadsheetml/2009/9/main" uri="{46F421CA-312F-682f-3DD2-61675219B42D}">
      <x14:dxfs count="1">
        <dxf>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3.png"/></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VS Avg Spending Score!PivotTable3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Gender</a:t>
            </a:r>
            <a:r>
              <a:rPr lang="en-US" sz="1600" b="1" baseline="0">
                <a:solidFill>
                  <a:schemeClr val="tx1"/>
                </a:solidFill>
              </a:rPr>
              <a:t> vs Avg Spending Score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259558180227471"/>
              <c:y val="-9.3824730242053084E-3"/>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C6E60F7C-BBE1-40B5-888F-9D5D91C55477}" type="CATEGORYNAME">
                  <a:rPr lang="en-US">
                    <a:solidFill>
                      <a:schemeClr val="tx1"/>
                    </a:solidFill>
                  </a:rPr>
                  <a:pPr>
                    <a:defRPr sz="1400" b="0" i="0" u="none" strike="noStrike" kern="1200" baseline="0">
                      <a:solidFill>
                        <a:schemeClr val="bg1"/>
                      </a:solidFill>
                      <a:latin typeface="+mn-lt"/>
                      <a:ea typeface="+mn-ea"/>
                      <a:cs typeface="+mn-cs"/>
                    </a:defRPr>
                  </a:pPr>
                  <a:t>[CATEGORY NAME]</a:t>
                </a:fld>
                <a:r>
                  <a:rPr lang="en-US" baseline="0">
                    <a:solidFill>
                      <a:schemeClr val="tx1"/>
                    </a:solidFill>
                  </a:rPr>
                  <a:t>
</a:t>
                </a:r>
                <a:fld id="{911D286C-78C9-44E4-89EC-52828961F0CE}" type="PERCENTAGE">
                  <a:rPr lang="en-US" baseline="0">
                    <a:solidFill>
                      <a:schemeClr val="tx1"/>
                    </a:solidFill>
                  </a:rPr>
                  <a:pPr>
                    <a:defRPr sz="1400" b="0" i="0" u="none" strike="noStrike" kern="1200" baseline="0">
                      <a:solidFill>
                        <a:schemeClr val="bg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9259558180227471"/>
              <c:y val="-9.3824730242053084E-3"/>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C6E60F7C-BBE1-40B5-888F-9D5D91C55477}" type="CATEGORYNAME">
                  <a:rPr lang="en-US">
                    <a:solidFill>
                      <a:schemeClr val="tx1"/>
                    </a:solidFill>
                  </a:rPr>
                  <a:pPr>
                    <a:defRPr sz="1400" b="0" i="0" u="none" strike="noStrike" kern="1200" baseline="0">
                      <a:solidFill>
                        <a:schemeClr val="bg1"/>
                      </a:solidFill>
                      <a:latin typeface="+mn-lt"/>
                      <a:ea typeface="+mn-ea"/>
                      <a:cs typeface="+mn-cs"/>
                    </a:defRPr>
                  </a:pPr>
                  <a:t>[CATEGORY NAME]</a:t>
                </a:fld>
                <a:r>
                  <a:rPr lang="en-US" baseline="0">
                    <a:solidFill>
                      <a:schemeClr val="tx1"/>
                    </a:solidFill>
                  </a:rPr>
                  <a:t>
</a:t>
                </a:r>
                <a:fld id="{911D286C-78C9-44E4-89EC-52828961F0CE}" type="PERCENTAGE">
                  <a:rPr lang="en-US" baseline="0">
                    <a:solidFill>
                      <a:schemeClr val="tx1"/>
                    </a:solidFill>
                  </a:rPr>
                  <a:pPr>
                    <a:defRPr sz="1400" b="0" i="0" u="none" strike="noStrike" kern="1200" baseline="0">
                      <a:solidFill>
                        <a:schemeClr val="bg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4240413913778025"/>
              <c:y val="-4.2699225480250548E-3"/>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C6E60F7C-BBE1-40B5-888F-9D5D91C55477}" type="CATEGORYNAME">
                  <a:rPr lang="en-US">
                    <a:solidFill>
                      <a:schemeClr val="tx1"/>
                    </a:solidFill>
                  </a:rPr>
                  <a:pPr>
                    <a:defRPr sz="1400">
                      <a:solidFill>
                        <a:schemeClr val="bg1"/>
                      </a:solidFill>
                    </a:defRPr>
                  </a:pPr>
                  <a:t>[CATEGORY NAME]</a:t>
                </a:fld>
                <a:r>
                  <a:rPr lang="en-US" baseline="0">
                    <a:solidFill>
                      <a:schemeClr val="tx1"/>
                    </a:solidFill>
                  </a:rPr>
                  <a:t>
</a:t>
                </a:r>
                <a:fld id="{911D286C-78C9-44E4-89EC-52828961F0CE}" type="PERCENTAGE">
                  <a:rPr lang="en-US" baseline="0">
                    <a:solidFill>
                      <a:schemeClr val="tx1"/>
                    </a:solidFill>
                  </a:rPr>
                  <a:pPr>
                    <a:defRPr sz="1400">
                      <a:solidFill>
                        <a:schemeClr val="bg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pivotFmt>
    </c:pivotFmts>
    <c:plotArea>
      <c:layout/>
      <c:pieChart>
        <c:varyColors val="1"/>
        <c:ser>
          <c:idx val="0"/>
          <c:order val="0"/>
          <c:tx>
            <c:strRef>
              <c:f>'Gender VS Avg Spending Score'!$B$3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ED-47AB-BC2C-BED120C520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ED-47AB-BC2C-BED120C5202B}"/>
              </c:ext>
            </c:extLst>
          </c:dPt>
          <c:dLbls>
            <c:dLbl>
              <c:idx val="0"/>
              <c:layout>
                <c:manualLayout>
                  <c:x val="-0.24240413913778025"/>
                  <c:y val="-4.2699225480250548E-3"/>
                </c:manualLayout>
              </c:layout>
              <c:tx>
                <c:rich>
                  <a:bodyPr/>
                  <a:lstStyle/>
                  <a:p>
                    <a:fld id="{C6E60F7C-BBE1-40B5-888F-9D5D91C55477}" type="CATEGORYNAME">
                      <a:rPr lang="en-US">
                        <a:solidFill>
                          <a:schemeClr val="tx1"/>
                        </a:solidFill>
                      </a:rPr>
                      <a:pPr/>
                      <a:t>[CATEGORY NAME]</a:t>
                    </a:fld>
                    <a:r>
                      <a:rPr lang="en-US" baseline="0">
                        <a:solidFill>
                          <a:schemeClr val="tx1"/>
                        </a:solidFill>
                      </a:rPr>
                      <a:t>
</a:t>
                    </a:r>
                    <a:fld id="{911D286C-78C9-44E4-89EC-52828961F0CE}" type="PERCENTAGE">
                      <a:rPr lang="en-US" baseline="0">
                        <a:solidFill>
                          <a:schemeClr val="tx1"/>
                        </a:solidFill>
                      </a:rPr>
                      <a:pPr/>
                      <a:t>[PERCENTAGE]</a:t>
                    </a:fld>
                    <a:endParaRPr lang="en-US"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7ED-47AB-BC2C-BED120C5202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Avg Spending Score'!$A$4:$A$6</c:f>
              <c:strCache>
                <c:ptCount val="2"/>
                <c:pt idx="0">
                  <c:v>Female</c:v>
                </c:pt>
                <c:pt idx="1">
                  <c:v>Male</c:v>
                </c:pt>
              </c:strCache>
            </c:strRef>
          </c:cat>
          <c:val>
            <c:numRef>
              <c:f>'Gender VS Avg Spending Score'!$B$4:$B$6</c:f>
              <c:numCache>
                <c:formatCode>0</c:formatCode>
                <c:ptCount val="2"/>
                <c:pt idx="0">
                  <c:v>51.526785714285715</c:v>
                </c:pt>
                <c:pt idx="1">
                  <c:v>48.511363636363633</c:v>
                </c:pt>
              </c:numCache>
            </c:numRef>
          </c:val>
          <c:extLst>
            <c:ext xmlns:c16="http://schemas.microsoft.com/office/drawing/2014/chart" uri="{C3380CC4-5D6E-409C-BE32-E72D297353CC}">
              <c16:uniqueId val="{00000004-57ED-47AB-BC2C-BED120C5202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wise spending and income!PivotTable5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Gender wise spending/income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wise spending and income'!$B$3:$B$4</c:f>
              <c:strCache>
                <c:ptCount val="1"/>
                <c:pt idx="0">
                  <c:v>Female</c:v>
                </c:pt>
              </c:strCache>
            </c:strRef>
          </c:tx>
          <c:spPr>
            <a:solidFill>
              <a:schemeClr val="accent1"/>
            </a:solidFill>
            <a:ln>
              <a:noFill/>
            </a:ln>
            <a:effectLst/>
            <a:sp3d/>
          </c:spPr>
          <c:invertIfNegative val="0"/>
          <c:cat>
            <c:strRef>
              <c:f>'Gender wise spending and income'!$A$5:$A$6</c:f>
              <c:strCache>
                <c:ptCount val="2"/>
                <c:pt idx="0">
                  <c:v>Average of Annual Income (k$)</c:v>
                </c:pt>
                <c:pt idx="1">
                  <c:v>Average of Spending (k$)</c:v>
                </c:pt>
              </c:strCache>
            </c:strRef>
          </c:cat>
          <c:val>
            <c:numRef>
              <c:f>'Gender wise spending and income'!$B$5:$B$6</c:f>
              <c:numCache>
                <c:formatCode>0</c:formatCode>
                <c:ptCount val="2"/>
                <c:pt idx="0">
                  <c:v>59.392857142857146</c:v>
                </c:pt>
                <c:pt idx="1">
                  <c:v>51.526785714285715</c:v>
                </c:pt>
              </c:numCache>
            </c:numRef>
          </c:val>
          <c:extLst>
            <c:ext xmlns:c16="http://schemas.microsoft.com/office/drawing/2014/chart" uri="{C3380CC4-5D6E-409C-BE32-E72D297353CC}">
              <c16:uniqueId val="{00000000-FC6F-46F6-B69B-0909C25AD5DA}"/>
            </c:ext>
          </c:extLst>
        </c:ser>
        <c:ser>
          <c:idx val="1"/>
          <c:order val="1"/>
          <c:tx>
            <c:strRef>
              <c:f>'Gender wise spending and income'!$C$3:$C$4</c:f>
              <c:strCache>
                <c:ptCount val="1"/>
                <c:pt idx="0">
                  <c:v>Male</c:v>
                </c:pt>
              </c:strCache>
            </c:strRef>
          </c:tx>
          <c:spPr>
            <a:solidFill>
              <a:schemeClr val="accent2"/>
            </a:solidFill>
            <a:ln>
              <a:noFill/>
            </a:ln>
            <a:effectLst/>
            <a:sp3d/>
          </c:spPr>
          <c:invertIfNegative val="0"/>
          <c:cat>
            <c:strRef>
              <c:f>'Gender wise spending and income'!$A$5:$A$6</c:f>
              <c:strCache>
                <c:ptCount val="2"/>
                <c:pt idx="0">
                  <c:v>Average of Annual Income (k$)</c:v>
                </c:pt>
                <c:pt idx="1">
                  <c:v>Average of Spending (k$)</c:v>
                </c:pt>
              </c:strCache>
            </c:strRef>
          </c:cat>
          <c:val>
            <c:numRef>
              <c:f>'Gender wise spending and income'!$C$5:$C$6</c:f>
              <c:numCache>
                <c:formatCode>0</c:formatCode>
                <c:ptCount val="2"/>
                <c:pt idx="0">
                  <c:v>62.352272727272727</c:v>
                </c:pt>
                <c:pt idx="1">
                  <c:v>48.511363636363633</c:v>
                </c:pt>
              </c:numCache>
            </c:numRef>
          </c:val>
          <c:extLst>
            <c:ext xmlns:c16="http://schemas.microsoft.com/office/drawing/2014/chart" uri="{C3380CC4-5D6E-409C-BE32-E72D297353CC}">
              <c16:uniqueId val="{00000000-696C-4AD1-9E6B-DF85DDC02C8D}"/>
            </c:ext>
          </c:extLst>
        </c:ser>
        <c:dLbls>
          <c:showLegendKey val="0"/>
          <c:showVal val="0"/>
          <c:showCatName val="0"/>
          <c:showSerName val="0"/>
          <c:showPercent val="0"/>
          <c:showBubbleSize val="0"/>
        </c:dLbls>
        <c:gapWidth val="150"/>
        <c:shape val="box"/>
        <c:axId val="249120367"/>
        <c:axId val="249117967"/>
        <c:axId val="0"/>
      </c:bar3DChart>
      <c:catAx>
        <c:axId val="24912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9117967"/>
        <c:crosses val="autoZero"/>
        <c:auto val="1"/>
        <c:lblAlgn val="ctr"/>
        <c:lblOffset val="100"/>
        <c:noMultiLvlLbl val="0"/>
      </c:catAx>
      <c:valAx>
        <c:axId val="24911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9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Report.xlsx]Year-wise spending and income!PivotTable7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cap="none" spc="0" normalizeH="0" baseline="0">
                <a:solidFill>
                  <a:schemeClr val="tx1"/>
                </a:solidFill>
                <a:effectLst/>
              </a:rPr>
              <a:t>Year-wise spending and income</a:t>
            </a:r>
            <a:endParaRPr lang="en-US" sz="1600" b="1" i="0" u="none" strike="noStrike" kern="1200" cap="none" spc="0" normalizeH="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'Year-wise spending and income'!$B$3</c:f>
              <c:strCache>
                <c:ptCount val="1"/>
                <c:pt idx="0">
                  <c:v>Sum of Annual Income (k$)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'Year-wise spending and income'!$A$4:$A$25</c:f>
              <c:strCache>
                <c:ptCount val="21"/>
                <c:pt idx="0">
                  <c:v>1985-1986</c:v>
                </c:pt>
                <c:pt idx="1">
                  <c:v>1987-1988</c:v>
                </c:pt>
                <c:pt idx="2">
                  <c:v>1989-1990</c:v>
                </c:pt>
                <c:pt idx="3">
                  <c:v>1991-1992</c:v>
                </c:pt>
                <c:pt idx="4">
                  <c:v>1993-1994</c:v>
                </c:pt>
                <c:pt idx="5">
                  <c:v>1995-1996</c:v>
                </c:pt>
                <c:pt idx="6">
                  <c:v>1997-1998</c:v>
                </c:pt>
                <c:pt idx="7">
                  <c:v>1999-2000</c:v>
                </c:pt>
                <c:pt idx="8">
                  <c:v>2001-2002</c:v>
                </c:pt>
                <c:pt idx="9">
                  <c:v>2003-2004</c:v>
                </c:pt>
                <c:pt idx="10">
                  <c:v>2005-2006</c:v>
                </c:pt>
                <c:pt idx="11">
                  <c:v>2007-2008</c:v>
                </c:pt>
                <c:pt idx="12">
                  <c:v>2009-2010</c:v>
                </c:pt>
                <c:pt idx="13">
                  <c:v>2011-2012</c:v>
                </c:pt>
                <c:pt idx="14">
                  <c:v>2013-2014</c:v>
                </c:pt>
                <c:pt idx="15">
                  <c:v>2015-2016</c:v>
                </c:pt>
                <c:pt idx="16">
                  <c:v>2017-2018</c:v>
                </c:pt>
                <c:pt idx="17">
                  <c:v>2019-2020</c:v>
                </c:pt>
                <c:pt idx="18">
                  <c:v>2021-2022</c:v>
                </c:pt>
                <c:pt idx="19">
                  <c:v>2023-2024</c:v>
                </c:pt>
                <c:pt idx="20">
                  <c:v>2025-2026</c:v>
                </c:pt>
              </c:strCache>
            </c:strRef>
          </c:cat>
          <c:val>
            <c:numRef>
              <c:f>'Year-wise spending and income'!$B$4:$B$25</c:f>
              <c:numCache>
                <c:formatCode>General</c:formatCode>
                <c:ptCount val="21"/>
                <c:pt idx="0">
                  <c:v>525</c:v>
                </c:pt>
                <c:pt idx="1">
                  <c:v>344</c:v>
                </c:pt>
                <c:pt idx="2">
                  <c:v>788</c:v>
                </c:pt>
                <c:pt idx="3">
                  <c:v>504</c:v>
                </c:pt>
                <c:pt idx="4">
                  <c:v>820</c:v>
                </c:pt>
                <c:pt idx="5">
                  <c:v>336</c:v>
                </c:pt>
                <c:pt idx="6">
                  <c:v>654</c:v>
                </c:pt>
                <c:pt idx="7">
                  <c:v>344</c:v>
                </c:pt>
                <c:pt idx="8">
                  <c:v>949</c:v>
                </c:pt>
                <c:pt idx="9">
                  <c:v>520</c:v>
                </c:pt>
                <c:pt idx="10">
                  <c:v>695</c:v>
                </c:pt>
                <c:pt idx="11">
                  <c:v>626</c:v>
                </c:pt>
                <c:pt idx="12">
                  <c:v>948</c:v>
                </c:pt>
                <c:pt idx="13">
                  <c:v>623</c:v>
                </c:pt>
                <c:pt idx="14">
                  <c:v>515</c:v>
                </c:pt>
                <c:pt idx="15">
                  <c:v>428</c:v>
                </c:pt>
                <c:pt idx="16">
                  <c:v>425</c:v>
                </c:pt>
                <c:pt idx="17">
                  <c:v>293</c:v>
                </c:pt>
                <c:pt idx="18">
                  <c:v>278</c:v>
                </c:pt>
                <c:pt idx="19">
                  <c:v>631</c:v>
                </c:pt>
                <c:pt idx="20">
                  <c:v>893</c:v>
                </c:pt>
              </c:numCache>
            </c:numRef>
          </c:val>
          <c:smooth val="0"/>
          <c:extLst>
            <c:ext xmlns:c16="http://schemas.microsoft.com/office/drawing/2014/chart" uri="{C3380CC4-5D6E-409C-BE32-E72D297353CC}">
              <c16:uniqueId val="{00000000-A94B-4717-BCCD-2FC2B102B371}"/>
            </c:ext>
          </c:extLst>
        </c:ser>
        <c:ser>
          <c:idx val="1"/>
          <c:order val="1"/>
          <c:tx>
            <c:strRef>
              <c:f>'Year-wise spending and income'!$C$3</c:f>
              <c:strCache>
                <c:ptCount val="1"/>
                <c:pt idx="0">
                  <c:v>Sum of Spending (k$)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spending and income'!$A$4:$A$25</c:f>
              <c:strCache>
                <c:ptCount val="21"/>
                <c:pt idx="0">
                  <c:v>1985-1986</c:v>
                </c:pt>
                <c:pt idx="1">
                  <c:v>1987-1988</c:v>
                </c:pt>
                <c:pt idx="2">
                  <c:v>1989-1990</c:v>
                </c:pt>
                <c:pt idx="3">
                  <c:v>1991-1992</c:v>
                </c:pt>
                <c:pt idx="4">
                  <c:v>1993-1994</c:v>
                </c:pt>
                <c:pt idx="5">
                  <c:v>1995-1996</c:v>
                </c:pt>
                <c:pt idx="6">
                  <c:v>1997-1998</c:v>
                </c:pt>
                <c:pt idx="7">
                  <c:v>1999-2000</c:v>
                </c:pt>
                <c:pt idx="8">
                  <c:v>2001-2002</c:v>
                </c:pt>
                <c:pt idx="9">
                  <c:v>2003-2004</c:v>
                </c:pt>
                <c:pt idx="10">
                  <c:v>2005-2006</c:v>
                </c:pt>
                <c:pt idx="11">
                  <c:v>2007-2008</c:v>
                </c:pt>
                <c:pt idx="12">
                  <c:v>2009-2010</c:v>
                </c:pt>
                <c:pt idx="13">
                  <c:v>2011-2012</c:v>
                </c:pt>
                <c:pt idx="14">
                  <c:v>2013-2014</c:v>
                </c:pt>
                <c:pt idx="15">
                  <c:v>2015-2016</c:v>
                </c:pt>
                <c:pt idx="16">
                  <c:v>2017-2018</c:v>
                </c:pt>
                <c:pt idx="17">
                  <c:v>2019-2020</c:v>
                </c:pt>
                <c:pt idx="18">
                  <c:v>2021-2022</c:v>
                </c:pt>
                <c:pt idx="19">
                  <c:v>2023-2024</c:v>
                </c:pt>
                <c:pt idx="20">
                  <c:v>2025-2026</c:v>
                </c:pt>
              </c:strCache>
            </c:strRef>
          </c:cat>
          <c:val>
            <c:numRef>
              <c:f>'Year-wise spending and income'!$C$4:$C$25</c:f>
              <c:numCache>
                <c:formatCode>General</c:formatCode>
                <c:ptCount val="21"/>
                <c:pt idx="0">
                  <c:v>554</c:v>
                </c:pt>
                <c:pt idx="1">
                  <c:v>319</c:v>
                </c:pt>
                <c:pt idx="2">
                  <c:v>713</c:v>
                </c:pt>
                <c:pt idx="3">
                  <c:v>403</c:v>
                </c:pt>
                <c:pt idx="4">
                  <c:v>639</c:v>
                </c:pt>
                <c:pt idx="5">
                  <c:v>155</c:v>
                </c:pt>
                <c:pt idx="6">
                  <c:v>775</c:v>
                </c:pt>
                <c:pt idx="7">
                  <c:v>291</c:v>
                </c:pt>
                <c:pt idx="8">
                  <c:v>797</c:v>
                </c:pt>
                <c:pt idx="9">
                  <c:v>377</c:v>
                </c:pt>
                <c:pt idx="10">
                  <c:v>500</c:v>
                </c:pt>
                <c:pt idx="11">
                  <c:v>538</c:v>
                </c:pt>
                <c:pt idx="12">
                  <c:v>737</c:v>
                </c:pt>
                <c:pt idx="13">
                  <c:v>554</c:v>
                </c:pt>
                <c:pt idx="14">
                  <c:v>567</c:v>
                </c:pt>
                <c:pt idx="15">
                  <c:v>243</c:v>
                </c:pt>
                <c:pt idx="16">
                  <c:v>247</c:v>
                </c:pt>
                <c:pt idx="17">
                  <c:v>254</c:v>
                </c:pt>
                <c:pt idx="18">
                  <c:v>268</c:v>
                </c:pt>
                <c:pt idx="19">
                  <c:v>519</c:v>
                </c:pt>
                <c:pt idx="20">
                  <c:v>590</c:v>
                </c:pt>
              </c:numCache>
            </c:numRef>
          </c:val>
          <c:smooth val="0"/>
          <c:extLst>
            <c:ext xmlns:c16="http://schemas.microsoft.com/office/drawing/2014/chart" uri="{C3380CC4-5D6E-409C-BE32-E72D297353CC}">
              <c16:uniqueId val="{00000001-A94B-4717-BCCD-2FC2B102B371}"/>
            </c:ext>
          </c:extLst>
        </c:ser>
        <c:dLbls>
          <c:showLegendKey val="0"/>
          <c:showVal val="0"/>
          <c:showCatName val="0"/>
          <c:showSerName val="0"/>
          <c:showPercent val="0"/>
          <c:showBubbleSize val="0"/>
        </c:dLbls>
        <c:marker val="1"/>
        <c:smooth val="0"/>
        <c:axId val="1546535631"/>
        <c:axId val="1546527951"/>
      </c:lineChart>
      <c:catAx>
        <c:axId val="154653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27951"/>
        <c:crosses val="autoZero"/>
        <c:auto val="1"/>
        <c:lblAlgn val="ctr"/>
        <c:lblOffset val="100"/>
        <c:noMultiLvlLbl val="0"/>
      </c:catAx>
      <c:valAx>
        <c:axId val="154652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Report.xlsx]Day wise Men-female spending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Daywise Male-Female Spending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08664637779179"/>
          <c:y val="9.9183435403907838E-2"/>
          <c:w val="0.52527736180216733"/>
          <c:h val="0.80037853601633124"/>
        </c:manualLayout>
      </c:layout>
      <c:barChart>
        <c:barDir val="bar"/>
        <c:grouping val="clustered"/>
        <c:varyColors val="0"/>
        <c:ser>
          <c:idx val="0"/>
          <c:order val="0"/>
          <c:tx>
            <c:strRef>
              <c:f>'Day wise Men-female spending '!$B$3:$B$4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Men-female spending '!$A$5:$A$12</c:f>
              <c:strCache>
                <c:ptCount val="7"/>
                <c:pt idx="0">
                  <c:v>Monday</c:v>
                </c:pt>
                <c:pt idx="1">
                  <c:v>Tuesday</c:v>
                </c:pt>
                <c:pt idx="2">
                  <c:v>Wednesday</c:v>
                </c:pt>
                <c:pt idx="3">
                  <c:v>Thursday</c:v>
                </c:pt>
                <c:pt idx="4">
                  <c:v>Friday</c:v>
                </c:pt>
                <c:pt idx="5">
                  <c:v>Saturday</c:v>
                </c:pt>
                <c:pt idx="6">
                  <c:v>Sunday</c:v>
                </c:pt>
              </c:strCache>
            </c:strRef>
          </c:cat>
          <c:val>
            <c:numRef>
              <c:f>'Day wise Men-female spending '!$B$5:$B$12</c:f>
              <c:numCache>
                <c:formatCode>General</c:formatCode>
                <c:ptCount val="7"/>
                <c:pt idx="0">
                  <c:v>628</c:v>
                </c:pt>
                <c:pt idx="1">
                  <c:v>482</c:v>
                </c:pt>
                <c:pt idx="2">
                  <c:v>1043</c:v>
                </c:pt>
                <c:pt idx="3">
                  <c:v>613</c:v>
                </c:pt>
                <c:pt idx="4">
                  <c:v>1175</c:v>
                </c:pt>
                <c:pt idx="5">
                  <c:v>919</c:v>
                </c:pt>
                <c:pt idx="6">
                  <c:v>911</c:v>
                </c:pt>
              </c:numCache>
            </c:numRef>
          </c:val>
          <c:extLst>
            <c:ext xmlns:c16="http://schemas.microsoft.com/office/drawing/2014/chart" uri="{C3380CC4-5D6E-409C-BE32-E72D297353CC}">
              <c16:uniqueId val="{00000000-2302-4C52-BA51-22FDEA0BB17D}"/>
            </c:ext>
          </c:extLst>
        </c:ser>
        <c:ser>
          <c:idx val="1"/>
          <c:order val="1"/>
          <c:tx>
            <c:strRef>
              <c:f>'Day wise Men-female spending '!$C$3:$C$4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Men-female spending '!$A$5:$A$12</c:f>
              <c:strCache>
                <c:ptCount val="7"/>
                <c:pt idx="0">
                  <c:v>Monday</c:v>
                </c:pt>
                <c:pt idx="1">
                  <c:v>Tuesday</c:v>
                </c:pt>
                <c:pt idx="2">
                  <c:v>Wednesday</c:v>
                </c:pt>
                <c:pt idx="3">
                  <c:v>Thursday</c:v>
                </c:pt>
                <c:pt idx="4">
                  <c:v>Friday</c:v>
                </c:pt>
                <c:pt idx="5">
                  <c:v>Saturday</c:v>
                </c:pt>
                <c:pt idx="6">
                  <c:v>Sunday</c:v>
                </c:pt>
              </c:strCache>
            </c:strRef>
          </c:cat>
          <c:val>
            <c:numRef>
              <c:f>'Day wise Men-female spending '!$C$5:$C$12</c:f>
              <c:numCache>
                <c:formatCode>General</c:formatCode>
                <c:ptCount val="7"/>
                <c:pt idx="0">
                  <c:v>868</c:v>
                </c:pt>
                <c:pt idx="1">
                  <c:v>288</c:v>
                </c:pt>
                <c:pt idx="2">
                  <c:v>462</c:v>
                </c:pt>
                <c:pt idx="3">
                  <c:v>612</c:v>
                </c:pt>
                <c:pt idx="4">
                  <c:v>442</c:v>
                </c:pt>
                <c:pt idx="5">
                  <c:v>757</c:v>
                </c:pt>
                <c:pt idx="6">
                  <c:v>840</c:v>
                </c:pt>
              </c:numCache>
            </c:numRef>
          </c:val>
          <c:extLst>
            <c:ext xmlns:c16="http://schemas.microsoft.com/office/drawing/2014/chart" uri="{C3380CC4-5D6E-409C-BE32-E72D297353CC}">
              <c16:uniqueId val="{00000000-CA0E-482D-A607-D383B35900DE}"/>
            </c:ext>
          </c:extLst>
        </c:ser>
        <c:dLbls>
          <c:dLblPos val="outEnd"/>
          <c:showLegendKey val="0"/>
          <c:showVal val="1"/>
          <c:showCatName val="0"/>
          <c:showSerName val="0"/>
          <c:showPercent val="0"/>
          <c:showBubbleSize val="0"/>
        </c:dLbls>
        <c:gapWidth val="182"/>
        <c:axId val="1049027567"/>
        <c:axId val="2135888111"/>
      </c:barChart>
      <c:catAx>
        <c:axId val="104902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888111"/>
        <c:crosses val="autoZero"/>
        <c:auto val="1"/>
        <c:lblAlgn val="ctr"/>
        <c:lblOffset val="100"/>
        <c:noMultiLvlLbl val="0"/>
      </c:catAx>
      <c:valAx>
        <c:axId val="213588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90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Report.xlsx]Customer preferred day of shopp!PivotTable9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Customer Preferred Day of Shopping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pivotFmt>
    </c:pivotFmts>
    <c:plotArea>
      <c:layout/>
      <c:areaChart>
        <c:grouping val="standard"/>
        <c:varyColors val="0"/>
        <c:ser>
          <c:idx val="0"/>
          <c:order val="0"/>
          <c:tx>
            <c:strRef>
              <c:f>'Customer preferred day of shopp'!$B$3</c:f>
              <c:strCache>
                <c:ptCount val="1"/>
                <c:pt idx="0">
                  <c:v>Total</c:v>
                </c:pt>
              </c:strCache>
            </c:strRef>
          </c:tx>
          <c:spPr>
            <a:solidFill>
              <a:schemeClr val="accent1"/>
            </a:solidFill>
            <a:ln w="25400">
              <a:noFill/>
            </a:ln>
            <a:effectLst/>
          </c:spPr>
          <c:cat>
            <c:strRef>
              <c:f>'Customer preferred day of shopp'!$A$4:$A$11</c:f>
              <c:strCache>
                <c:ptCount val="7"/>
                <c:pt idx="0">
                  <c:v>Monday</c:v>
                </c:pt>
                <c:pt idx="1">
                  <c:v>Tuesday</c:v>
                </c:pt>
                <c:pt idx="2">
                  <c:v>Wednesday</c:v>
                </c:pt>
                <c:pt idx="3">
                  <c:v>Thursday</c:v>
                </c:pt>
                <c:pt idx="4">
                  <c:v>Friday</c:v>
                </c:pt>
                <c:pt idx="5">
                  <c:v>Saturday</c:v>
                </c:pt>
                <c:pt idx="6">
                  <c:v>Sunday</c:v>
                </c:pt>
              </c:strCache>
            </c:strRef>
          </c:cat>
          <c:val>
            <c:numRef>
              <c:f>'Customer preferred day of shopp'!$B$4:$B$11</c:f>
              <c:numCache>
                <c:formatCode>General</c:formatCode>
                <c:ptCount val="7"/>
                <c:pt idx="0">
                  <c:v>31</c:v>
                </c:pt>
                <c:pt idx="1">
                  <c:v>18</c:v>
                </c:pt>
                <c:pt idx="2">
                  <c:v>29</c:v>
                </c:pt>
                <c:pt idx="3">
                  <c:v>25</c:v>
                </c:pt>
                <c:pt idx="4">
                  <c:v>32</c:v>
                </c:pt>
                <c:pt idx="5">
                  <c:v>32</c:v>
                </c:pt>
                <c:pt idx="6">
                  <c:v>33</c:v>
                </c:pt>
              </c:numCache>
            </c:numRef>
          </c:val>
          <c:extLst>
            <c:ext xmlns:c16="http://schemas.microsoft.com/office/drawing/2014/chart" uri="{C3380CC4-5D6E-409C-BE32-E72D297353CC}">
              <c16:uniqueId val="{00000000-D623-41A3-97F4-4F9AECA485AB}"/>
            </c:ext>
          </c:extLst>
        </c:ser>
        <c:dLbls>
          <c:showLegendKey val="0"/>
          <c:showVal val="0"/>
          <c:showCatName val="0"/>
          <c:showSerName val="0"/>
          <c:showPercent val="0"/>
          <c:showBubbleSize val="0"/>
        </c:dLbls>
        <c:axId val="1544006831"/>
        <c:axId val="1544007311"/>
      </c:areaChart>
      <c:catAx>
        <c:axId val="154400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4007311"/>
        <c:crosses val="autoZero"/>
        <c:auto val="1"/>
        <c:lblAlgn val="ctr"/>
        <c:lblOffset val="100"/>
        <c:noMultiLvlLbl val="0"/>
      </c:catAx>
      <c:valAx>
        <c:axId val="154400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4006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VS Avg Spending Scor (2)!PivotTable3</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Gender vs Avg Spending Score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259558180227471"/>
              <c:y val="-9.3824730242053084E-3"/>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C6E60F7C-BBE1-40B5-888F-9D5D91C55477}" type="CATEGORYNAME">
                  <a:rPr lang="en-US">
                    <a:solidFill>
                      <a:schemeClr val="tx1"/>
                    </a:solidFill>
                  </a:rPr>
                  <a:pPr>
                    <a:defRPr sz="1400" b="0" i="0" u="none" strike="noStrike" kern="1200" baseline="0">
                      <a:solidFill>
                        <a:schemeClr val="bg1"/>
                      </a:solidFill>
                      <a:latin typeface="+mn-lt"/>
                      <a:ea typeface="+mn-ea"/>
                      <a:cs typeface="+mn-cs"/>
                    </a:defRPr>
                  </a:pPr>
                  <a:t>[CATEGORY NAME]</a:t>
                </a:fld>
                <a:r>
                  <a:rPr lang="en-US" baseline="0">
                    <a:solidFill>
                      <a:schemeClr val="tx1"/>
                    </a:solidFill>
                  </a:rPr>
                  <a:t>
</a:t>
                </a:r>
                <a:fld id="{911D286C-78C9-44E4-89EC-52828961F0CE}" type="PERCENTAGE">
                  <a:rPr lang="en-US" baseline="0">
                    <a:solidFill>
                      <a:schemeClr val="tx1"/>
                    </a:solidFill>
                  </a:rPr>
                  <a:pPr>
                    <a:defRPr sz="1400" b="0" i="0" u="none" strike="noStrike" kern="1200" baseline="0">
                      <a:solidFill>
                        <a:schemeClr val="bg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blipFill>
            <a:blip xmlns:r="http://schemas.openxmlformats.org/officeDocument/2006/relationships" r:embed="rId3"/>
            <a:stretch>
              <a:fillRect/>
            </a:stretch>
          </a:blipFill>
          <a:ln w="19050">
            <a:solidFill>
              <a:schemeClr val="lt1"/>
            </a:solidFill>
          </a:ln>
          <a:effectLst/>
        </c:spPr>
        <c:marker>
          <c:symbol val="none"/>
        </c:marker>
      </c:pivotFmt>
      <c:pivotFmt>
        <c:idx val="3"/>
        <c:spPr>
          <a:blipFill>
            <a:blip xmlns:r="http://schemas.openxmlformats.org/officeDocument/2006/relationships" r:embed="rId3"/>
            <a:stretch>
              <a:fillRect/>
            </a:stretch>
          </a:blipFill>
          <a:ln w="19050">
            <a:solidFill>
              <a:schemeClr val="lt1"/>
            </a:solidFill>
          </a:ln>
          <a:effectLst/>
        </c:spPr>
      </c:pivotFmt>
      <c:pivotFmt>
        <c:idx val="4"/>
        <c:spPr>
          <a:blipFill>
            <a:blip xmlns:r="http://schemas.openxmlformats.org/officeDocument/2006/relationships" r:embed="rId4"/>
            <a:stretch>
              <a:fillRect/>
            </a:stretch>
          </a:blipFill>
          <a:ln w="19050">
            <a:solidFill>
              <a:schemeClr val="lt1"/>
            </a:solidFill>
          </a:ln>
          <a:effectLst/>
        </c:spPr>
      </c:pivotFmt>
      <c:pivotFmt>
        <c:idx val="5"/>
        <c:spPr>
          <a:blipFill>
            <a:blip xmlns:r="http://schemas.openxmlformats.org/officeDocument/2006/relationships" r:embed="rId3"/>
            <a:stretch>
              <a:fillRect/>
            </a:stretch>
          </a:blip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w="19050">
            <a:solidFill>
              <a:schemeClr val="lt1"/>
            </a:solidFill>
          </a:ln>
          <a:effectLst/>
        </c:spPr>
      </c:pivotFmt>
      <c:pivotFmt>
        <c:idx val="7"/>
        <c:spPr>
          <a:blipFill>
            <a:blip xmlns:r="http://schemas.openxmlformats.org/officeDocument/2006/relationships" r:embed="rId4"/>
            <a:stretch>
              <a:fillRect/>
            </a:stretch>
          </a:blipFill>
          <a:ln w="19050">
            <a:solidFill>
              <a:schemeClr val="lt1"/>
            </a:solidFill>
          </a:ln>
          <a:effectLst/>
        </c:spPr>
      </c:pivotFmt>
      <c:pivotFmt>
        <c:idx val="8"/>
        <c:spPr>
          <a:blipFill>
            <a:blip xmlns:r="http://schemas.openxmlformats.org/officeDocument/2006/relationships" r:embed="rId3"/>
            <a:stretch>
              <a:fillRect/>
            </a:stretch>
          </a:blipFill>
          <a:ln w="1905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w="19050">
            <a:solidFill>
              <a:schemeClr val="tx2">
                <a:lumMod val="25000"/>
                <a:lumOff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2CD0A8-D83E-4526-9C06-8FDD3FF2C5EE}"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blipFill>
            <a:blip xmlns:r="http://schemas.openxmlformats.org/officeDocument/2006/relationships" r:embed="rId4"/>
            <a:stretch>
              <a:fillRect/>
            </a:stretch>
          </a:blipFill>
          <a:ln w="19050">
            <a:solidFill>
              <a:schemeClr val="tx2">
                <a:lumMod val="25000"/>
                <a:lumOff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643EF1-1265-478D-BC6C-7F9AC262B666}"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'Gender VS Avg Spending Scor (2)'!$B$3</c:f>
              <c:strCache>
                <c:ptCount val="1"/>
                <c:pt idx="0">
                  <c:v>Total</c:v>
                </c:pt>
              </c:strCache>
            </c:strRef>
          </c:tx>
          <c:spPr>
            <a:blipFill>
              <a:blip xmlns:r="http://schemas.openxmlformats.org/officeDocument/2006/relationships" r:embed="rId3"/>
              <a:stretch>
                <a:fillRect/>
              </a:stretch>
            </a:blipFill>
            <a:ln w="19050">
              <a:solidFill>
                <a:schemeClr val="tx2">
                  <a:lumMod val="25000"/>
                  <a:lumOff val="75000"/>
                </a:schemeClr>
              </a:solidFill>
            </a:ln>
            <a:effectLst/>
          </c:spPr>
          <c:invertIfNegative val="0"/>
          <c:dPt>
            <c:idx val="0"/>
            <c:invertIfNegative val="0"/>
            <c:bubble3D val="0"/>
            <c:spPr>
              <a:blipFill>
                <a:blip xmlns:r="http://schemas.openxmlformats.org/officeDocument/2006/relationships" r:embed="rId3"/>
                <a:stretch>
                  <a:fillRect/>
                </a:stretch>
              </a:blipFill>
              <a:ln w="19050">
                <a:solidFill>
                  <a:schemeClr val="tx2">
                    <a:lumMod val="25000"/>
                    <a:lumOff val="75000"/>
                  </a:schemeClr>
                </a:solidFill>
              </a:ln>
              <a:effectLst/>
            </c:spPr>
            <c:extLst>
              <c:ext xmlns:c16="http://schemas.microsoft.com/office/drawing/2014/chart" uri="{C3380CC4-5D6E-409C-BE32-E72D297353CC}">
                <c16:uniqueId val="{00000001-1398-4494-BC05-EEDC23ABC875}"/>
              </c:ext>
            </c:extLst>
          </c:dPt>
          <c:dPt>
            <c:idx val="1"/>
            <c:invertIfNegative val="0"/>
            <c:bubble3D val="0"/>
            <c:spPr>
              <a:blipFill>
                <a:blip xmlns:r="http://schemas.openxmlformats.org/officeDocument/2006/relationships" r:embed="rId4"/>
                <a:stretch>
                  <a:fillRect/>
                </a:stretch>
              </a:blipFill>
              <a:ln w="19050">
                <a:solidFill>
                  <a:schemeClr val="tx2">
                    <a:lumMod val="25000"/>
                    <a:lumOff val="75000"/>
                  </a:schemeClr>
                </a:solidFill>
              </a:ln>
              <a:effectLst/>
            </c:spPr>
            <c:extLst>
              <c:ext xmlns:c16="http://schemas.microsoft.com/office/drawing/2014/chart" uri="{C3380CC4-5D6E-409C-BE32-E72D297353CC}">
                <c16:uniqueId val="{00000003-1398-4494-BC05-EEDC23ABC875}"/>
              </c:ext>
            </c:extLst>
          </c:dPt>
          <c:dLbls>
            <c:dLbl>
              <c:idx val="0"/>
              <c:tx>
                <c:rich>
                  <a:bodyPr/>
                  <a:lstStyle/>
                  <a:p>
                    <a:fld id="{9B2CD0A8-D83E-4526-9C06-8FDD3FF2C5EE}"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398-4494-BC05-EEDC23ABC875}"/>
                </c:ext>
              </c:extLst>
            </c:dLbl>
            <c:dLbl>
              <c:idx val="1"/>
              <c:tx>
                <c:rich>
                  <a:bodyPr/>
                  <a:lstStyle/>
                  <a:p>
                    <a:fld id="{C3643EF1-1265-478D-BC6C-7F9AC262B666}"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398-4494-BC05-EEDC23ABC8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Avg Spending Scor (2)'!$A$4:$A$6</c:f>
              <c:strCache>
                <c:ptCount val="2"/>
                <c:pt idx="0">
                  <c:v>Female</c:v>
                </c:pt>
                <c:pt idx="1">
                  <c:v>Male</c:v>
                </c:pt>
              </c:strCache>
            </c:strRef>
          </c:cat>
          <c:val>
            <c:numRef>
              <c:f>'Gender VS Avg Spending Scor (2)'!$B$4:$B$6</c:f>
              <c:numCache>
                <c:formatCode>0</c:formatCode>
                <c:ptCount val="2"/>
                <c:pt idx="0">
                  <c:v>51.526785714285715</c:v>
                </c:pt>
                <c:pt idx="1">
                  <c:v>48.511363636363633</c:v>
                </c:pt>
              </c:numCache>
            </c:numRef>
          </c:val>
          <c:extLst>
            <c:ext xmlns:c16="http://schemas.microsoft.com/office/drawing/2014/chart" uri="{C3380CC4-5D6E-409C-BE32-E72D297353CC}">
              <c16:uniqueId val="{00000004-1398-4494-BC05-EEDC23ABC875}"/>
            </c:ext>
          </c:extLst>
        </c:ser>
        <c:dLbls>
          <c:dLblPos val="outEnd"/>
          <c:showLegendKey val="0"/>
          <c:showVal val="1"/>
          <c:showCatName val="0"/>
          <c:showSerName val="0"/>
          <c:showPercent val="0"/>
          <c:showBubbleSize val="0"/>
        </c:dLbls>
        <c:gapWidth val="25"/>
        <c:axId val="2087270367"/>
        <c:axId val="2087262687"/>
      </c:barChart>
      <c:catAx>
        <c:axId val="208727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62687"/>
        <c:crosses val="autoZero"/>
        <c:auto val="1"/>
        <c:lblAlgn val="ctr"/>
        <c:lblOffset val="100"/>
        <c:noMultiLvlLbl val="0"/>
      </c:catAx>
      <c:valAx>
        <c:axId val="2087262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7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VS Avg Spending Score!PivotTable3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Gender</a:t>
            </a:r>
            <a:r>
              <a:rPr lang="en-US" sz="1600" b="1" baseline="0">
                <a:solidFill>
                  <a:schemeClr val="tx1"/>
                </a:solidFill>
              </a:rPr>
              <a:t> vs Avg Spending Score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VS Avg Spending Score'!$B$3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7FD-407F-825D-5AF97A9AF2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F7-4338-839D-3E606481C0A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Avg Spending Score'!$A$4:$A$6</c:f>
              <c:strCache>
                <c:ptCount val="2"/>
                <c:pt idx="0">
                  <c:v>Female</c:v>
                </c:pt>
                <c:pt idx="1">
                  <c:v>Male</c:v>
                </c:pt>
              </c:strCache>
            </c:strRef>
          </c:cat>
          <c:val>
            <c:numRef>
              <c:f>'Gender VS Avg Spending Score'!$B$4:$B$6</c:f>
              <c:numCache>
                <c:formatCode>0</c:formatCode>
                <c:ptCount val="2"/>
                <c:pt idx="0">
                  <c:v>51.526785714285715</c:v>
                </c:pt>
                <c:pt idx="1">
                  <c:v>48.511363636363633</c:v>
                </c:pt>
              </c:numCache>
            </c:numRef>
          </c:val>
          <c:extLst>
            <c:ext xmlns:c16="http://schemas.microsoft.com/office/drawing/2014/chart" uri="{C3380CC4-5D6E-409C-BE32-E72D297353CC}">
              <c16:uniqueId val="{00000000-77FD-407F-825D-5AF97A9AF22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wise spending and income!PivotTable5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Gender wise spending/income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wise spending and income'!$B$3:$B$4</c:f>
              <c:strCache>
                <c:ptCount val="1"/>
                <c:pt idx="0">
                  <c:v>Female</c:v>
                </c:pt>
              </c:strCache>
            </c:strRef>
          </c:tx>
          <c:spPr>
            <a:solidFill>
              <a:schemeClr val="accent1"/>
            </a:solidFill>
            <a:ln>
              <a:noFill/>
            </a:ln>
            <a:effectLst/>
            <a:sp3d/>
          </c:spPr>
          <c:invertIfNegative val="0"/>
          <c:cat>
            <c:strRef>
              <c:f>'Gender wise spending and income'!$A$5:$A$6</c:f>
              <c:strCache>
                <c:ptCount val="2"/>
                <c:pt idx="0">
                  <c:v>Average of Annual Income (k$)</c:v>
                </c:pt>
                <c:pt idx="1">
                  <c:v>Average of Spending (k$)</c:v>
                </c:pt>
              </c:strCache>
            </c:strRef>
          </c:cat>
          <c:val>
            <c:numRef>
              <c:f>'Gender wise spending and income'!$B$5:$B$6</c:f>
              <c:numCache>
                <c:formatCode>0</c:formatCode>
                <c:ptCount val="2"/>
                <c:pt idx="0">
                  <c:v>59.392857142857146</c:v>
                </c:pt>
                <c:pt idx="1">
                  <c:v>51.526785714285715</c:v>
                </c:pt>
              </c:numCache>
            </c:numRef>
          </c:val>
          <c:extLst>
            <c:ext xmlns:c16="http://schemas.microsoft.com/office/drawing/2014/chart" uri="{C3380CC4-5D6E-409C-BE32-E72D297353CC}">
              <c16:uniqueId val="{00000003-B7A5-41B2-895F-9DEAD7A2F40A}"/>
            </c:ext>
          </c:extLst>
        </c:ser>
        <c:ser>
          <c:idx val="1"/>
          <c:order val="1"/>
          <c:tx>
            <c:strRef>
              <c:f>'Gender wise spending and income'!$C$3:$C$4</c:f>
              <c:strCache>
                <c:ptCount val="1"/>
                <c:pt idx="0">
                  <c:v>Male</c:v>
                </c:pt>
              </c:strCache>
            </c:strRef>
          </c:tx>
          <c:spPr>
            <a:solidFill>
              <a:schemeClr val="accent2"/>
            </a:solidFill>
            <a:ln>
              <a:noFill/>
            </a:ln>
            <a:effectLst/>
            <a:sp3d/>
          </c:spPr>
          <c:invertIfNegative val="0"/>
          <c:cat>
            <c:strRef>
              <c:f>'Gender wise spending and income'!$A$5:$A$6</c:f>
              <c:strCache>
                <c:ptCount val="2"/>
                <c:pt idx="0">
                  <c:v>Average of Annual Income (k$)</c:v>
                </c:pt>
                <c:pt idx="1">
                  <c:v>Average of Spending (k$)</c:v>
                </c:pt>
              </c:strCache>
            </c:strRef>
          </c:cat>
          <c:val>
            <c:numRef>
              <c:f>'Gender wise spending and income'!$C$5:$C$6</c:f>
              <c:numCache>
                <c:formatCode>0</c:formatCode>
                <c:ptCount val="2"/>
                <c:pt idx="0">
                  <c:v>62.352272727272727</c:v>
                </c:pt>
                <c:pt idx="1">
                  <c:v>48.511363636363633</c:v>
                </c:pt>
              </c:numCache>
            </c:numRef>
          </c:val>
          <c:extLst>
            <c:ext xmlns:c16="http://schemas.microsoft.com/office/drawing/2014/chart" uri="{C3380CC4-5D6E-409C-BE32-E72D297353CC}">
              <c16:uniqueId val="{00000000-5E2E-4448-B934-651B9206CC4D}"/>
            </c:ext>
          </c:extLst>
        </c:ser>
        <c:dLbls>
          <c:showLegendKey val="0"/>
          <c:showVal val="0"/>
          <c:showCatName val="0"/>
          <c:showSerName val="0"/>
          <c:showPercent val="0"/>
          <c:showBubbleSize val="0"/>
        </c:dLbls>
        <c:gapWidth val="150"/>
        <c:shape val="box"/>
        <c:axId val="249120367"/>
        <c:axId val="249117967"/>
        <c:axId val="0"/>
      </c:bar3DChart>
      <c:catAx>
        <c:axId val="24912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9117967"/>
        <c:crosses val="autoZero"/>
        <c:auto val="1"/>
        <c:lblAlgn val="ctr"/>
        <c:lblOffset val="100"/>
        <c:noMultiLvlLbl val="0"/>
      </c:catAx>
      <c:valAx>
        <c:axId val="24911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49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Report.xlsx]Year-wise spending and income!PivotTable7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cap="none" spc="0" normalizeH="0" baseline="0">
                <a:solidFill>
                  <a:schemeClr val="tx1"/>
                </a:solidFill>
                <a:effectLst/>
              </a:rPr>
              <a:t>Year-wise spending and income</a:t>
            </a:r>
            <a:endParaRPr lang="en-US" sz="1600" b="1" i="0" u="none" strike="noStrike" kern="1200" cap="none" spc="0" normalizeH="0"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'Year-wise spending and income'!$B$3</c:f>
              <c:strCache>
                <c:ptCount val="1"/>
                <c:pt idx="0">
                  <c:v>Sum of Annual Income (k$)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'Year-wise spending and income'!$A$4:$A$25</c:f>
              <c:strCache>
                <c:ptCount val="21"/>
                <c:pt idx="0">
                  <c:v>1985-1986</c:v>
                </c:pt>
                <c:pt idx="1">
                  <c:v>1987-1988</c:v>
                </c:pt>
                <c:pt idx="2">
                  <c:v>1989-1990</c:v>
                </c:pt>
                <c:pt idx="3">
                  <c:v>1991-1992</c:v>
                </c:pt>
                <c:pt idx="4">
                  <c:v>1993-1994</c:v>
                </c:pt>
                <c:pt idx="5">
                  <c:v>1995-1996</c:v>
                </c:pt>
                <c:pt idx="6">
                  <c:v>1997-1998</c:v>
                </c:pt>
                <c:pt idx="7">
                  <c:v>1999-2000</c:v>
                </c:pt>
                <c:pt idx="8">
                  <c:v>2001-2002</c:v>
                </c:pt>
                <c:pt idx="9">
                  <c:v>2003-2004</c:v>
                </c:pt>
                <c:pt idx="10">
                  <c:v>2005-2006</c:v>
                </c:pt>
                <c:pt idx="11">
                  <c:v>2007-2008</c:v>
                </c:pt>
                <c:pt idx="12">
                  <c:v>2009-2010</c:v>
                </c:pt>
                <c:pt idx="13">
                  <c:v>2011-2012</c:v>
                </c:pt>
                <c:pt idx="14">
                  <c:v>2013-2014</c:v>
                </c:pt>
                <c:pt idx="15">
                  <c:v>2015-2016</c:v>
                </c:pt>
                <c:pt idx="16">
                  <c:v>2017-2018</c:v>
                </c:pt>
                <c:pt idx="17">
                  <c:v>2019-2020</c:v>
                </c:pt>
                <c:pt idx="18">
                  <c:v>2021-2022</c:v>
                </c:pt>
                <c:pt idx="19">
                  <c:v>2023-2024</c:v>
                </c:pt>
                <c:pt idx="20">
                  <c:v>2025-2026</c:v>
                </c:pt>
              </c:strCache>
            </c:strRef>
          </c:cat>
          <c:val>
            <c:numRef>
              <c:f>'Year-wise spending and income'!$B$4:$B$25</c:f>
              <c:numCache>
                <c:formatCode>General</c:formatCode>
                <c:ptCount val="21"/>
                <c:pt idx="0">
                  <c:v>525</c:v>
                </c:pt>
                <c:pt idx="1">
                  <c:v>344</c:v>
                </c:pt>
                <c:pt idx="2">
                  <c:v>788</c:v>
                </c:pt>
                <c:pt idx="3">
                  <c:v>504</c:v>
                </c:pt>
                <c:pt idx="4">
                  <c:v>820</c:v>
                </c:pt>
                <c:pt idx="5">
                  <c:v>336</c:v>
                </c:pt>
                <c:pt idx="6">
                  <c:v>654</c:v>
                </c:pt>
                <c:pt idx="7">
                  <c:v>344</c:v>
                </c:pt>
                <c:pt idx="8">
                  <c:v>949</c:v>
                </c:pt>
                <c:pt idx="9">
                  <c:v>520</c:v>
                </c:pt>
                <c:pt idx="10">
                  <c:v>695</c:v>
                </c:pt>
                <c:pt idx="11">
                  <c:v>626</c:v>
                </c:pt>
                <c:pt idx="12">
                  <c:v>948</c:v>
                </c:pt>
                <c:pt idx="13">
                  <c:v>623</c:v>
                </c:pt>
                <c:pt idx="14">
                  <c:v>515</c:v>
                </c:pt>
                <c:pt idx="15">
                  <c:v>428</c:v>
                </c:pt>
                <c:pt idx="16">
                  <c:v>425</c:v>
                </c:pt>
                <c:pt idx="17">
                  <c:v>293</c:v>
                </c:pt>
                <c:pt idx="18">
                  <c:v>278</c:v>
                </c:pt>
                <c:pt idx="19">
                  <c:v>631</c:v>
                </c:pt>
                <c:pt idx="20">
                  <c:v>893</c:v>
                </c:pt>
              </c:numCache>
            </c:numRef>
          </c:val>
          <c:smooth val="0"/>
          <c:extLst>
            <c:ext xmlns:c16="http://schemas.microsoft.com/office/drawing/2014/chart" uri="{C3380CC4-5D6E-409C-BE32-E72D297353CC}">
              <c16:uniqueId val="{00000000-1DAF-441E-96D2-048206DFA751}"/>
            </c:ext>
          </c:extLst>
        </c:ser>
        <c:ser>
          <c:idx val="1"/>
          <c:order val="1"/>
          <c:tx>
            <c:strRef>
              <c:f>'Year-wise spending and income'!$C$3</c:f>
              <c:strCache>
                <c:ptCount val="1"/>
                <c:pt idx="0">
                  <c:v>Sum of Spending (k$)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'Year-wise spending and income'!$A$4:$A$25</c:f>
              <c:strCache>
                <c:ptCount val="21"/>
                <c:pt idx="0">
                  <c:v>1985-1986</c:v>
                </c:pt>
                <c:pt idx="1">
                  <c:v>1987-1988</c:v>
                </c:pt>
                <c:pt idx="2">
                  <c:v>1989-1990</c:v>
                </c:pt>
                <c:pt idx="3">
                  <c:v>1991-1992</c:v>
                </c:pt>
                <c:pt idx="4">
                  <c:v>1993-1994</c:v>
                </c:pt>
                <c:pt idx="5">
                  <c:v>1995-1996</c:v>
                </c:pt>
                <c:pt idx="6">
                  <c:v>1997-1998</c:v>
                </c:pt>
                <c:pt idx="7">
                  <c:v>1999-2000</c:v>
                </c:pt>
                <c:pt idx="8">
                  <c:v>2001-2002</c:v>
                </c:pt>
                <c:pt idx="9">
                  <c:v>2003-2004</c:v>
                </c:pt>
                <c:pt idx="10">
                  <c:v>2005-2006</c:v>
                </c:pt>
                <c:pt idx="11">
                  <c:v>2007-2008</c:v>
                </c:pt>
                <c:pt idx="12">
                  <c:v>2009-2010</c:v>
                </c:pt>
                <c:pt idx="13">
                  <c:v>2011-2012</c:v>
                </c:pt>
                <c:pt idx="14">
                  <c:v>2013-2014</c:v>
                </c:pt>
                <c:pt idx="15">
                  <c:v>2015-2016</c:v>
                </c:pt>
                <c:pt idx="16">
                  <c:v>2017-2018</c:v>
                </c:pt>
                <c:pt idx="17">
                  <c:v>2019-2020</c:v>
                </c:pt>
                <c:pt idx="18">
                  <c:v>2021-2022</c:v>
                </c:pt>
                <c:pt idx="19">
                  <c:v>2023-2024</c:v>
                </c:pt>
                <c:pt idx="20">
                  <c:v>2025-2026</c:v>
                </c:pt>
              </c:strCache>
            </c:strRef>
          </c:cat>
          <c:val>
            <c:numRef>
              <c:f>'Year-wise spending and income'!$C$4:$C$25</c:f>
              <c:numCache>
                <c:formatCode>General</c:formatCode>
                <c:ptCount val="21"/>
                <c:pt idx="0">
                  <c:v>554</c:v>
                </c:pt>
                <c:pt idx="1">
                  <c:v>319</c:v>
                </c:pt>
                <c:pt idx="2">
                  <c:v>713</c:v>
                </c:pt>
                <c:pt idx="3">
                  <c:v>403</c:v>
                </c:pt>
                <c:pt idx="4">
                  <c:v>639</c:v>
                </c:pt>
                <c:pt idx="5">
                  <c:v>155</c:v>
                </c:pt>
                <c:pt idx="6">
                  <c:v>775</c:v>
                </c:pt>
                <c:pt idx="7">
                  <c:v>291</c:v>
                </c:pt>
                <c:pt idx="8">
                  <c:v>797</c:v>
                </c:pt>
                <c:pt idx="9">
                  <c:v>377</c:v>
                </c:pt>
                <c:pt idx="10">
                  <c:v>500</c:v>
                </c:pt>
                <c:pt idx="11">
                  <c:v>538</c:v>
                </c:pt>
                <c:pt idx="12">
                  <c:v>737</c:v>
                </c:pt>
                <c:pt idx="13">
                  <c:v>554</c:v>
                </c:pt>
                <c:pt idx="14">
                  <c:v>567</c:v>
                </c:pt>
                <c:pt idx="15">
                  <c:v>243</c:v>
                </c:pt>
                <c:pt idx="16">
                  <c:v>247</c:v>
                </c:pt>
                <c:pt idx="17">
                  <c:v>254</c:v>
                </c:pt>
                <c:pt idx="18">
                  <c:v>268</c:v>
                </c:pt>
                <c:pt idx="19">
                  <c:v>519</c:v>
                </c:pt>
                <c:pt idx="20">
                  <c:v>590</c:v>
                </c:pt>
              </c:numCache>
            </c:numRef>
          </c:val>
          <c:smooth val="0"/>
          <c:extLst>
            <c:ext xmlns:c16="http://schemas.microsoft.com/office/drawing/2014/chart" uri="{C3380CC4-5D6E-409C-BE32-E72D297353CC}">
              <c16:uniqueId val="{00000001-1DAF-441E-96D2-048206DFA751}"/>
            </c:ext>
          </c:extLst>
        </c:ser>
        <c:dLbls>
          <c:showLegendKey val="0"/>
          <c:showVal val="0"/>
          <c:showCatName val="0"/>
          <c:showSerName val="0"/>
          <c:showPercent val="0"/>
          <c:showBubbleSize val="0"/>
        </c:dLbls>
        <c:marker val="1"/>
        <c:smooth val="0"/>
        <c:axId val="1546535631"/>
        <c:axId val="1546527951"/>
      </c:lineChart>
      <c:catAx>
        <c:axId val="154653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27951"/>
        <c:crosses val="autoZero"/>
        <c:auto val="1"/>
        <c:lblAlgn val="ctr"/>
        <c:lblOffset val="100"/>
        <c:noMultiLvlLbl val="0"/>
      </c:catAx>
      <c:valAx>
        <c:axId val="154652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Report.xlsx]Day wise Men-female spending !PivotTable8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Daywise Male-Female Spending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08664637779179"/>
          <c:y val="9.9183435403907838E-2"/>
          <c:w val="0.52527736180216733"/>
          <c:h val="0.80037853601633124"/>
        </c:manualLayout>
      </c:layout>
      <c:barChart>
        <c:barDir val="bar"/>
        <c:grouping val="clustered"/>
        <c:varyColors val="0"/>
        <c:ser>
          <c:idx val="0"/>
          <c:order val="0"/>
          <c:tx>
            <c:strRef>
              <c:f>'Day wise Men-female spending '!$B$3:$B$4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Men-female spending '!$A$5:$A$12</c:f>
              <c:strCache>
                <c:ptCount val="7"/>
                <c:pt idx="0">
                  <c:v>Monday</c:v>
                </c:pt>
                <c:pt idx="1">
                  <c:v>Tuesday</c:v>
                </c:pt>
                <c:pt idx="2">
                  <c:v>Wednesday</c:v>
                </c:pt>
                <c:pt idx="3">
                  <c:v>Thursday</c:v>
                </c:pt>
                <c:pt idx="4">
                  <c:v>Friday</c:v>
                </c:pt>
                <c:pt idx="5">
                  <c:v>Saturday</c:v>
                </c:pt>
                <c:pt idx="6">
                  <c:v>Sunday</c:v>
                </c:pt>
              </c:strCache>
            </c:strRef>
          </c:cat>
          <c:val>
            <c:numRef>
              <c:f>'Day wise Men-female spending '!$B$5:$B$12</c:f>
              <c:numCache>
                <c:formatCode>General</c:formatCode>
                <c:ptCount val="7"/>
                <c:pt idx="0">
                  <c:v>628</c:v>
                </c:pt>
                <c:pt idx="1">
                  <c:v>482</c:v>
                </c:pt>
                <c:pt idx="2">
                  <c:v>1043</c:v>
                </c:pt>
                <c:pt idx="3">
                  <c:v>613</c:v>
                </c:pt>
                <c:pt idx="4">
                  <c:v>1175</c:v>
                </c:pt>
                <c:pt idx="5">
                  <c:v>919</c:v>
                </c:pt>
                <c:pt idx="6">
                  <c:v>911</c:v>
                </c:pt>
              </c:numCache>
            </c:numRef>
          </c:val>
          <c:extLst>
            <c:ext xmlns:c16="http://schemas.microsoft.com/office/drawing/2014/chart" uri="{C3380CC4-5D6E-409C-BE32-E72D297353CC}">
              <c16:uniqueId val="{00000000-953D-4409-B251-6375A662C0B0}"/>
            </c:ext>
          </c:extLst>
        </c:ser>
        <c:ser>
          <c:idx val="1"/>
          <c:order val="1"/>
          <c:tx>
            <c:strRef>
              <c:f>'Day wise Men-female spending '!$C$3:$C$4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Men-female spending '!$A$5:$A$12</c:f>
              <c:strCache>
                <c:ptCount val="7"/>
                <c:pt idx="0">
                  <c:v>Monday</c:v>
                </c:pt>
                <c:pt idx="1">
                  <c:v>Tuesday</c:v>
                </c:pt>
                <c:pt idx="2">
                  <c:v>Wednesday</c:v>
                </c:pt>
                <c:pt idx="3">
                  <c:v>Thursday</c:v>
                </c:pt>
                <c:pt idx="4">
                  <c:v>Friday</c:v>
                </c:pt>
                <c:pt idx="5">
                  <c:v>Saturday</c:v>
                </c:pt>
                <c:pt idx="6">
                  <c:v>Sunday</c:v>
                </c:pt>
              </c:strCache>
            </c:strRef>
          </c:cat>
          <c:val>
            <c:numRef>
              <c:f>'Day wise Men-female spending '!$C$5:$C$12</c:f>
              <c:numCache>
                <c:formatCode>General</c:formatCode>
                <c:ptCount val="7"/>
                <c:pt idx="0">
                  <c:v>868</c:v>
                </c:pt>
                <c:pt idx="1">
                  <c:v>288</c:v>
                </c:pt>
                <c:pt idx="2">
                  <c:v>462</c:v>
                </c:pt>
                <c:pt idx="3">
                  <c:v>612</c:v>
                </c:pt>
                <c:pt idx="4">
                  <c:v>442</c:v>
                </c:pt>
                <c:pt idx="5">
                  <c:v>757</c:v>
                </c:pt>
                <c:pt idx="6">
                  <c:v>840</c:v>
                </c:pt>
              </c:numCache>
            </c:numRef>
          </c:val>
          <c:extLst>
            <c:ext xmlns:c16="http://schemas.microsoft.com/office/drawing/2014/chart" uri="{C3380CC4-5D6E-409C-BE32-E72D297353CC}">
              <c16:uniqueId val="{00000000-3715-4BC6-B951-0E0151A7A0BC}"/>
            </c:ext>
          </c:extLst>
        </c:ser>
        <c:dLbls>
          <c:dLblPos val="outEnd"/>
          <c:showLegendKey val="0"/>
          <c:showVal val="1"/>
          <c:showCatName val="0"/>
          <c:showSerName val="0"/>
          <c:showPercent val="0"/>
          <c:showBubbleSize val="0"/>
        </c:dLbls>
        <c:gapWidth val="182"/>
        <c:axId val="1049027567"/>
        <c:axId val="2135888111"/>
      </c:barChart>
      <c:catAx>
        <c:axId val="104902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888111"/>
        <c:crosses val="autoZero"/>
        <c:auto val="1"/>
        <c:lblAlgn val="ctr"/>
        <c:lblOffset val="100"/>
        <c:noMultiLvlLbl val="0"/>
      </c:catAx>
      <c:valAx>
        <c:axId val="213588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90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Report.xlsx]Customer preferred day of shopp!PivotTable9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Customer Preferred Day of Shopping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pivotFmt>
    </c:pivotFmts>
    <c:plotArea>
      <c:layout/>
      <c:areaChart>
        <c:grouping val="standard"/>
        <c:varyColors val="0"/>
        <c:ser>
          <c:idx val="0"/>
          <c:order val="0"/>
          <c:tx>
            <c:strRef>
              <c:f>'Customer preferred day of shopp'!$B$3</c:f>
              <c:strCache>
                <c:ptCount val="1"/>
                <c:pt idx="0">
                  <c:v>Total</c:v>
                </c:pt>
              </c:strCache>
            </c:strRef>
          </c:tx>
          <c:spPr>
            <a:solidFill>
              <a:schemeClr val="accent1"/>
            </a:solidFill>
            <a:ln w="25400">
              <a:noFill/>
            </a:ln>
            <a:effectLst/>
          </c:spPr>
          <c:cat>
            <c:strRef>
              <c:f>'Customer preferred day of shopp'!$A$4:$A$11</c:f>
              <c:strCache>
                <c:ptCount val="7"/>
                <c:pt idx="0">
                  <c:v>Monday</c:v>
                </c:pt>
                <c:pt idx="1">
                  <c:v>Tuesday</c:v>
                </c:pt>
                <c:pt idx="2">
                  <c:v>Wednesday</c:v>
                </c:pt>
                <c:pt idx="3">
                  <c:v>Thursday</c:v>
                </c:pt>
                <c:pt idx="4">
                  <c:v>Friday</c:v>
                </c:pt>
                <c:pt idx="5">
                  <c:v>Saturday</c:v>
                </c:pt>
                <c:pt idx="6">
                  <c:v>Sunday</c:v>
                </c:pt>
              </c:strCache>
            </c:strRef>
          </c:cat>
          <c:val>
            <c:numRef>
              <c:f>'Customer preferred day of shopp'!$B$4:$B$11</c:f>
              <c:numCache>
                <c:formatCode>General</c:formatCode>
                <c:ptCount val="7"/>
                <c:pt idx="0">
                  <c:v>31</c:v>
                </c:pt>
                <c:pt idx="1">
                  <c:v>18</c:v>
                </c:pt>
                <c:pt idx="2">
                  <c:v>29</c:v>
                </c:pt>
                <c:pt idx="3">
                  <c:v>25</c:v>
                </c:pt>
                <c:pt idx="4">
                  <c:v>32</c:v>
                </c:pt>
                <c:pt idx="5">
                  <c:v>32</c:v>
                </c:pt>
                <c:pt idx="6">
                  <c:v>33</c:v>
                </c:pt>
              </c:numCache>
            </c:numRef>
          </c:val>
          <c:extLst>
            <c:ext xmlns:c16="http://schemas.microsoft.com/office/drawing/2014/chart" uri="{C3380CC4-5D6E-409C-BE32-E72D297353CC}">
              <c16:uniqueId val="{00000002-C97E-45DB-BA59-F80D778BB740}"/>
            </c:ext>
          </c:extLst>
        </c:ser>
        <c:dLbls>
          <c:showLegendKey val="0"/>
          <c:showVal val="0"/>
          <c:showCatName val="0"/>
          <c:showSerName val="0"/>
          <c:showPercent val="0"/>
          <c:showBubbleSize val="0"/>
        </c:dLbls>
        <c:axId val="1544006831"/>
        <c:axId val="1544007311"/>
      </c:areaChart>
      <c:catAx>
        <c:axId val="154400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4007311"/>
        <c:crosses val="autoZero"/>
        <c:auto val="1"/>
        <c:lblAlgn val="ctr"/>
        <c:lblOffset val="100"/>
        <c:noMultiLvlLbl val="0"/>
      </c:catAx>
      <c:valAx>
        <c:axId val="154400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4006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Survey Report.xlsx]Gender VS Avg Spending Scor (2)!PivotTable3</c:name>
    <c:fmtId val="45"/>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'Gender VS Avg Spending Scor (2)'!$B$3</c:f>
              <c:strCache>
                <c:ptCount val="1"/>
                <c:pt idx="0">
                  <c:v>Total</c:v>
                </c:pt>
              </c:strCache>
            </c:strRef>
          </c:tx>
          <c:spPr>
            <a:solidFill>
              <a:schemeClr val="accent1"/>
            </a:solidFill>
            <a:ln>
              <a:noFill/>
            </a:ln>
            <a:effectLst/>
          </c:spPr>
          <c:invertIfNegative val="0"/>
          <c:cat>
            <c:strRef>
              <c:f>'Gender VS Avg Spending Scor (2)'!$A$4:$A$6</c:f>
              <c:strCache>
                <c:ptCount val="2"/>
                <c:pt idx="0">
                  <c:v>Female</c:v>
                </c:pt>
                <c:pt idx="1">
                  <c:v>Male</c:v>
                </c:pt>
              </c:strCache>
            </c:strRef>
          </c:cat>
          <c:val>
            <c:numRef>
              <c:f>'Gender VS Avg Spending Scor (2)'!$B$4:$B$6</c:f>
              <c:numCache>
                <c:formatCode>0</c:formatCode>
                <c:ptCount val="2"/>
                <c:pt idx="0">
                  <c:v>51.526785714285715</c:v>
                </c:pt>
                <c:pt idx="1">
                  <c:v>48.511363636363633</c:v>
                </c:pt>
              </c:numCache>
            </c:numRef>
          </c:val>
          <c:extLst>
            <c:ext xmlns:c16="http://schemas.microsoft.com/office/drawing/2014/chart" uri="{C3380CC4-5D6E-409C-BE32-E72D297353CC}">
              <c16:uniqueId val="{00000000-40C8-477D-ABDB-5B0A90328A98}"/>
            </c:ext>
          </c:extLst>
        </c:ser>
        <c:dLbls>
          <c:showLegendKey val="0"/>
          <c:showVal val="0"/>
          <c:showCatName val="0"/>
          <c:showSerName val="0"/>
          <c:showPercent val="0"/>
          <c:showBubbleSize val="0"/>
        </c:dLbls>
        <c:gapWidth val="219"/>
        <c:overlap val="-27"/>
        <c:axId val="277970127"/>
        <c:axId val="277963407"/>
      </c:barChart>
      <c:catAx>
        <c:axId val="277970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63407"/>
        <c:crosses val="autoZero"/>
        <c:auto val="1"/>
        <c:lblAlgn val="ctr"/>
        <c:lblOffset val="100"/>
        <c:noMultiLvlLbl val="0"/>
      </c:catAx>
      <c:valAx>
        <c:axId val="27796340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7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259080</xdr:colOff>
      <xdr:row>0</xdr:row>
      <xdr:rowOff>83820</xdr:rowOff>
    </xdr:from>
    <xdr:to>
      <xdr:col>21</xdr:col>
      <xdr:colOff>472440</xdr:colOff>
      <xdr:row>56</xdr:row>
      <xdr:rowOff>114300</xdr:rowOff>
    </xdr:to>
    <xdr:sp macro="" textlink="">
      <xdr:nvSpPr>
        <xdr:cNvPr id="3" name="Rectangle: Rounded Corners 2">
          <a:extLst>
            <a:ext uri="{FF2B5EF4-FFF2-40B4-BE49-F238E27FC236}">
              <a16:creationId xmlns:a16="http://schemas.microsoft.com/office/drawing/2014/main" id="{D9290F45-1CAF-4799-421F-599D5ECD9C6F}"/>
            </a:ext>
          </a:extLst>
        </xdr:cNvPr>
        <xdr:cNvSpPr/>
      </xdr:nvSpPr>
      <xdr:spPr>
        <a:xfrm>
          <a:off x="259080" y="83820"/>
          <a:ext cx="14295120" cy="984504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137160</xdr:colOff>
      <xdr:row>2</xdr:row>
      <xdr:rowOff>68580</xdr:rowOff>
    </xdr:from>
    <xdr:to>
      <xdr:col>16</xdr:col>
      <xdr:colOff>121920</xdr:colOff>
      <xdr:row>6</xdr:row>
      <xdr:rowOff>60960</xdr:rowOff>
    </xdr:to>
    <xdr:sp macro="" textlink="">
      <xdr:nvSpPr>
        <xdr:cNvPr id="4" name="Rectangle: Rounded Corners 3">
          <a:extLst>
            <a:ext uri="{FF2B5EF4-FFF2-40B4-BE49-F238E27FC236}">
              <a16:creationId xmlns:a16="http://schemas.microsoft.com/office/drawing/2014/main" id="{A16725FD-4139-A1DD-E02F-CBB120DF7D17}"/>
            </a:ext>
          </a:extLst>
        </xdr:cNvPr>
        <xdr:cNvSpPr/>
      </xdr:nvSpPr>
      <xdr:spPr>
        <a:xfrm>
          <a:off x="2148840" y="419100"/>
          <a:ext cx="87020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Algerian" panose="04020705040A02060702" pitchFamily="82" charset="0"/>
            </a:rPr>
            <a:t>Shopping</a:t>
          </a:r>
          <a:r>
            <a:rPr lang="en-US" sz="2400" baseline="0">
              <a:latin typeface="Algerian" panose="04020705040A02060702" pitchFamily="82" charset="0"/>
            </a:rPr>
            <a:t> Mall Survey Report</a:t>
          </a:r>
          <a:endParaRPr lang="en-US" sz="2400">
            <a:latin typeface="Algerian" panose="04020705040A02060702" pitchFamily="82" charset="0"/>
          </a:endParaRPr>
        </a:p>
      </xdr:txBody>
    </xdr:sp>
    <xdr:clientData/>
  </xdr:twoCellAnchor>
  <xdr:twoCellAnchor>
    <xdr:from>
      <xdr:col>1</xdr:col>
      <xdr:colOff>137160</xdr:colOff>
      <xdr:row>9</xdr:row>
      <xdr:rowOff>30480</xdr:rowOff>
    </xdr:from>
    <xdr:to>
      <xdr:col>3</xdr:col>
      <xdr:colOff>579120</xdr:colOff>
      <xdr:row>14</xdr:row>
      <xdr:rowOff>53340</xdr:rowOff>
    </xdr:to>
    <xdr:sp macro="" textlink="">
      <xdr:nvSpPr>
        <xdr:cNvPr id="5" name="Rectangle: Rounded Corners 4">
          <a:extLst>
            <a:ext uri="{FF2B5EF4-FFF2-40B4-BE49-F238E27FC236}">
              <a16:creationId xmlns:a16="http://schemas.microsoft.com/office/drawing/2014/main" id="{0AB3E04A-28C6-3972-8177-7364B3654C95}"/>
            </a:ext>
          </a:extLst>
        </xdr:cNvPr>
        <xdr:cNvSpPr/>
      </xdr:nvSpPr>
      <xdr:spPr>
        <a:xfrm>
          <a:off x="807720" y="1607820"/>
          <a:ext cx="178308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sng" strike="noStrike">
              <a:solidFill>
                <a:schemeClr val="lt1"/>
              </a:solidFill>
              <a:effectLst/>
              <a:latin typeface="+mn-lt"/>
              <a:ea typeface="+mn-ea"/>
              <a:cs typeface="+mn-cs"/>
            </a:rPr>
            <a:t>Total Customers</a:t>
          </a:r>
          <a:r>
            <a:rPr lang="en-US" sz="1400" b="1" u="sng">
              <a:effectLst/>
            </a:rPr>
            <a:t> </a:t>
          </a:r>
          <a:endParaRPr lang="en-US" sz="1400" b="1" u="sng"/>
        </a:p>
      </xdr:txBody>
    </xdr:sp>
    <xdr:clientData/>
  </xdr:twoCellAnchor>
  <xdr:twoCellAnchor>
    <xdr:from>
      <xdr:col>4</xdr:col>
      <xdr:colOff>129540</xdr:colOff>
      <xdr:row>9</xdr:row>
      <xdr:rowOff>22860</xdr:rowOff>
    </xdr:from>
    <xdr:to>
      <xdr:col>7</xdr:col>
      <xdr:colOff>99060</xdr:colOff>
      <xdr:row>14</xdr:row>
      <xdr:rowOff>45720</xdr:rowOff>
    </xdr:to>
    <xdr:sp macro="" textlink="">
      <xdr:nvSpPr>
        <xdr:cNvPr id="6" name="Rectangle: Rounded Corners 5">
          <a:extLst>
            <a:ext uri="{FF2B5EF4-FFF2-40B4-BE49-F238E27FC236}">
              <a16:creationId xmlns:a16="http://schemas.microsoft.com/office/drawing/2014/main" id="{94139EAA-0C87-4AD4-B569-7A112A992F62}"/>
            </a:ext>
          </a:extLst>
        </xdr:cNvPr>
        <xdr:cNvSpPr/>
      </xdr:nvSpPr>
      <xdr:spPr>
        <a:xfrm>
          <a:off x="2811780" y="1600200"/>
          <a:ext cx="198120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        </a:t>
          </a:r>
          <a:r>
            <a:rPr lang="en-US" sz="1400" b="1" i="0" u="sng" strike="noStrike">
              <a:solidFill>
                <a:schemeClr val="lt1"/>
              </a:solidFill>
              <a:effectLst/>
              <a:latin typeface="+mn-lt"/>
              <a:ea typeface="+mn-ea"/>
              <a:cs typeface="+mn-cs"/>
            </a:rPr>
            <a:t>Avg. Income(K$)</a:t>
          </a:r>
          <a:r>
            <a:rPr lang="en-US" sz="1400" b="1" u="sng">
              <a:effectLst/>
            </a:rPr>
            <a:t> </a:t>
          </a:r>
          <a:endParaRPr lang="en-US" sz="1400" b="1" u="sng"/>
        </a:p>
      </xdr:txBody>
    </xdr:sp>
    <xdr:clientData/>
  </xdr:twoCellAnchor>
  <xdr:twoCellAnchor>
    <xdr:from>
      <xdr:col>7</xdr:col>
      <xdr:colOff>320040</xdr:colOff>
      <xdr:row>9</xdr:row>
      <xdr:rowOff>7620</xdr:rowOff>
    </xdr:from>
    <xdr:to>
      <xdr:col>10</xdr:col>
      <xdr:colOff>213360</xdr:colOff>
      <xdr:row>14</xdr:row>
      <xdr:rowOff>30480</xdr:rowOff>
    </xdr:to>
    <xdr:sp macro="" textlink="">
      <xdr:nvSpPr>
        <xdr:cNvPr id="7" name="Rectangle: Rounded Corners 6">
          <a:extLst>
            <a:ext uri="{FF2B5EF4-FFF2-40B4-BE49-F238E27FC236}">
              <a16:creationId xmlns:a16="http://schemas.microsoft.com/office/drawing/2014/main" id="{9FAA1087-B755-43C1-B118-D5D09EEAF4E3}"/>
            </a:ext>
          </a:extLst>
        </xdr:cNvPr>
        <xdr:cNvSpPr/>
      </xdr:nvSpPr>
      <xdr:spPr>
        <a:xfrm>
          <a:off x="5013960" y="1584960"/>
          <a:ext cx="190500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sng" strike="noStrike">
              <a:solidFill>
                <a:schemeClr val="lt1"/>
              </a:solidFill>
              <a:effectLst/>
              <a:latin typeface="+mn-lt"/>
              <a:ea typeface="+mn-ea"/>
              <a:cs typeface="+mn-cs"/>
            </a:rPr>
            <a:t>Avg. Spending (K$)</a:t>
          </a:r>
          <a:endParaRPr lang="en-US" sz="1400" b="1" u="sng"/>
        </a:p>
      </xdr:txBody>
    </xdr:sp>
    <xdr:clientData/>
  </xdr:twoCellAnchor>
  <xdr:twoCellAnchor>
    <xdr:from>
      <xdr:col>10</xdr:col>
      <xdr:colOff>426720</xdr:colOff>
      <xdr:row>9</xdr:row>
      <xdr:rowOff>7620</xdr:rowOff>
    </xdr:from>
    <xdr:to>
      <xdr:col>13</xdr:col>
      <xdr:colOff>373380</xdr:colOff>
      <xdr:row>14</xdr:row>
      <xdr:rowOff>30480</xdr:rowOff>
    </xdr:to>
    <xdr:sp macro="" textlink="">
      <xdr:nvSpPr>
        <xdr:cNvPr id="8" name="Rectangle: Rounded Corners 7">
          <a:extLst>
            <a:ext uri="{FF2B5EF4-FFF2-40B4-BE49-F238E27FC236}">
              <a16:creationId xmlns:a16="http://schemas.microsoft.com/office/drawing/2014/main" id="{769EFAD9-5C2F-4AA1-BD32-BFB23B3FDBF1}"/>
            </a:ext>
          </a:extLst>
        </xdr:cNvPr>
        <xdr:cNvSpPr/>
      </xdr:nvSpPr>
      <xdr:spPr>
        <a:xfrm>
          <a:off x="7132320" y="1584960"/>
          <a:ext cx="195834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lt1"/>
              </a:solidFill>
              <a:effectLst/>
              <a:latin typeface="+mn-lt"/>
              <a:ea typeface="+mn-ea"/>
              <a:cs typeface="+mn-cs"/>
            </a:rPr>
            <a:t>            </a:t>
          </a:r>
          <a:r>
            <a:rPr lang="en-US" sz="1400" b="1" i="0" u="sng" strike="noStrike">
              <a:solidFill>
                <a:schemeClr val="lt1"/>
              </a:solidFill>
              <a:effectLst/>
              <a:latin typeface="+mn-lt"/>
              <a:ea typeface="+mn-ea"/>
              <a:cs typeface="+mn-cs"/>
            </a:rPr>
            <a:t>Avg. Age</a:t>
          </a:r>
          <a:r>
            <a:rPr lang="en-US" sz="1400" b="1" u="sng">
              <a:effectLst/>
            </a:rPr>
            <a:t> </a:t>
          </a:r>
          <a:endParaRPr lang="en-US" sz="1400" b="1" u="sng"/>
        </a:p>
      </xdr:txBody>
    </xdr:sp>
    <xdr:clientData/>
  </xdr:twoCellAnchor>
  <xdr:twoCellAnchor>
    <xdr:from>
      <xdr:col>13</xdr:col>
      <xdr:colOff>541020</xdr:colOff>
      <xdr:row>9</xdr:row>
      <xdr:rowOff>7620</xdr:rowOff>
    </xdr:from>
    <xdr:to>
      <xdr:col>16</xdr:col>
      <xdr:colOff>655320</xdr:colOff>
      <xdr:row>14</xdr:row>
      <xdr:rowOff>30480</xdr:rowOff>
    </xdr:to>
    <xdr:sp macro="" textlink="">
      <xdr:nvSpPr>
        <xdr:cNvPr id="9" name="Rectangle: Rounded Corners 8">
          <a:extLst>
            <a:ext uri="{FF2B5EF4-FFF2-40B4-BE49-F238E27FC236}">
              <a16:creationId xmlns:a16="http://schemas.microsoft.com/office/drawing/2014/main" id="{D8A0A202-028D-4429-87D9-9FBA02D13F9F}"/>
            </a:ext>
          </a:extLst>
        </xdr:cNvPr>
        <xdr:cNvSpPr/>
      </xdr:nvSpPr>
      <xdr:spPr>
        <a:xfrm>
          <a:off x="9258300" y="1584960"/>
          <a:ext cx="212598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lt1"/>
              </a:solidFill>
              <a:effectLst/>
              <a:latin typeface="+mn-lt"/>
              <a:ea typeface="+mn-ea"/>
              <a:cs typeface="+mn-cs"/>
            </a:rPr>
            <a:t>      </a:t>
          </a:r>
          <a:r>
            <a:rPr lang="en-US" sz="1400" b="1" i="0" u="sng" strike="noStrike">
              <a:solidFill>
                <a:schemeClr val="lt1"/>
              </a:solidFill>
              <a:effectLst/>
              <a:latin typeface="+mn-lt"/>
              <a:ea typeface="+mn-ea"/>
              <a:cs typeface="+mn-cs"/>
            </a:rPr>
            <a:t>Avg. Feedback Rating</a:t>
          </a:r>
          <a:r>
            <a:rPr lang="en-US" sz="1400" b="1" u="sng">
              <a:effectLst/>
            </a:rPr>
            <a:t> </a:t>
          </a:r>
          <a:endParaRPr lang="en-US" sz="1400" b="1" u="sng"/>
        </a:p>
      </xdr:txBody>
    </xdr:sp>
    <xdr:clientData/>
  </xdr:twoCellAnchor>
  <xdr:twoCellAnchor>
    <xdr:from>
      <xdr:col>1</xdr:col>
      <xdr:colOff>586740</xdr:colOff>
      <xdr:row>11</xdr:row>
      <xdr:rowOff>121920</xdr:rowOff>
    </xdr:from>
    <xdr:to>
      <xdr:col>3</xdr:col>
      <xdr:colOff>91440</xdr:colOff>
      <xdr:row>13</xdr:row>
      <xdr:rowOff>99060</xdr:rowOff>
    </xdr:to>
    <xdr:sp macro="" textlink="KPI!$B$10">
      <xdr:nvSpPr>
        <xdr:cNvPr id="16" name="Rectangle: Rounded Corners 15">
          <a:extLst>
            <a:ext uri="{FF2B5EF4-FFF2-40B4-BE49-F238E27FC236}">
              <a16:creationId xmlns:a16="http://schemas.microsoft.com/office/drawing/2014/main" id="{D1241A66-8810-C57A-118E-F02AB734B275}"/>
            </a:ext>
          </a:extLst>
        </xdr:cNvPr>
        <xdr:cNvSpPr/>
      </xdr:nvSpPr>
      <xdr:spPr>
        <a:xfrm>
          <a:off x="1257300" y="2049780"/>
          <a:ext cx="845820" cy="327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34DB3B-4302-484B-B984-7219F6259701}" type="TxLink">
            <a:rPr lang="en-US" sz="1600" b="0" i="0" u="none" strike="noStrike">
              <a:solidFill>
                <a:schemeClr val="bg1"/>
              </a:solidFill>
              <a:latin typeface="Aptos Narrow"/>
            </a:rPr>
            <a:pPr algn="ctr"/>
            <a:t>200</a:t>
          </a:fld>
          <a:endParaRPr lang="en-US" sz="1600">
            <a:solidFill>
              <a:schemeClr val="bg1"/>
            </a:solidFill>
          </a:endParaRPr>
        </a:p>
      </xdr:txBody>
    </xdr:sp>
    <xdr:clientData/>
  </xdr:twoCellAnchor>
  <xdr:twoCellAnchor>
    <xdr:from>
      <xdr:col>4</xdr:col>
      <xdr:colOff>655320</xdr:colOff>
      <xdr:row>11</xdr:row>
      <xdr:rowOff>114300</xdr:rowOff>
    </xdr:from>
    <xdr:to>
      <xdr:col>6</xdr:col>
      <xdr:colOff>167640</xdr:colOff>
      <xdr:row>13</xdr:row>
      <xdr:rowOff>114300</xdr:rowOff>
    </xdr:to>
    <xdr:sp macro="" textlink="KPI!C10">
      <xdr:nvSpPr>
        <xdr:cNvPr id="17" name="Rectangle: Rounded Corners 16">
          <a:extLst>
            <a:ext uri="{FF2B5EF4-FFF2-40B4-BE49-F238E27FC236}">
              <a16:creationId xmlns:a16="http://schemas.microsoft.com/office/drawing/2014/main" id="{187C5635-8628-586B-1E55-366F1FB4EE3D}"/>
            </a:ext>
          </a:extLst>
        </xdr:cNvPr>
        <xdr:cNvSpPr/>
      </xdr:nvSpPr>
      <xdr:spPr>
        <a:xfrm>
          <a:off x="3337560" y="2042160"/>
          <a:ext cx="85344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7A6DE1-5E7A-40BB-AEA5-0654D2C6147F}" type="TxLink">
            <a:rPr lang="en-US" sz="1600" b="0" i="0" u="none" strike="noStrike">
              <a:solidFill>
                <a:schemeClr val="bg1"/>
              </a:solidFill>
              <a:latin typeface="Aptos Narrow"/>
            </a:rPr>
            <a:pPr algn="ctr"/>
            <a:t>61</a:t>
          </a:fld>
          <a:endParaRPr lang="en-US" sz="1600">
            <a:solidFill>
              <a:schemeClr val="bg1"/>
            </a:solidFill>
          </a:endParaRPr>
        </a:p>
      </xdr:txBody>
    </xdr:sp>
    <xdr:clientData/>
  </xdr:twoCellAnchor>
  <xdr:twoCellAnchor>
    <xdr:from>
      <xdr:col>8</xdr:col>
      <xdr:colOff>160020</xdr:colOff>
      <xdr:row>11</xdr:row>
      <xdr:rowOff>91440</xdr:rowOff>
    </xdr:from>
    <xdr:to>
      <xdr:col>9</xdr:col>
      <xdr:colOff>396240</xdr:colOff>
      <xdr:row>13</xdr:row>
      <xdr:rowOff>99060</xdr:rowOff>
    </xdr:to>
    <xdr:sp macro="" textlink="KPI!D10">
      <xdr:nvSpPr>
        <xdr:cNvPr id="18" name="Rectangle: Rounded Corners 17">
          <a:extLst>
            <a:ext uri="{FF2B5EF4-FFF2-40B4-BE49-F238E27FC236}">
              <a16:creationId xmlns:a16="http://schemas.microsoft.com/office/drawing/2014/main" id="{F5D84967-64FA-4156-A6E3-E1E5AD9F6F25}"/>
            </a:ext>
          </a:extLst>
        </xdr:cNvPr>
        <xdr:cNvSpPr/>
      </xdr:nvSpPr>
      <xdr:spPr>
        <a:xfrm>
          <a:off x="5524500" y="2019300"/>
          <a:ext cx="9067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EFD7C8-17DB-43D3-BA77-49317E3856F2}" type="TxLink">
            <a:rPr lang="en-US" sz="1600" b="0" i="0" u="none" strike="noStrike">
              <a:solidFill>
                <a:schemeClr val="bg1"/>
              </a:solidFill>
              <a:latin typeface="Aptos Narrow"/>
            </a:rPr>
            <a:pPr algn="ctr"/>
            <a:t>50</a:t>
          </a:fld>
          <a:endParaRPr lang="en-US" sz="1600">
            <a:solidFill>
              <a:schemeClr val="bg1"/>
            </a:solidFill>
          </a:endParaRPr>
        </a:p>
      </xdr:txBody>
    </xdr:sp>
    <xdr:clientData/>
  </xdr:twoCellAnchor>
  <xdr:twoCellAnchor>
    <xdr:from>
      <xdr:col>11</xdr:col>
      <xdr:colOff>274320</xdr:colOff>
      <xdr:row>11</xdr:row>
      <xdr:rowOff>99060</xdr:rowOff>
    </xdr:from>
    <xdr:to>
      <xdr:col>12</xdr:col>
      <xdr:colOff>502920</xdr:colOff>
      <xdr:row>13</xdr:row>
      <xdr:rowOff>83820</xdr:rowOff>
    </xdr:to>
    <xdr:sp macro="" textlink="KPI!E10">
      <xdr:nvSpPr>
        <xdr:cNvPr id="19" name="Rectangle: Rounded Corners 18">
          <a:extLst>
            <a:ext uri="{FF2B5EF4-FFF2-40B4-BE49-F238E27FC236}">
              <a16:creationId xmlns:a16="http://schemas.microsoft.com/office/drawing/2014/main" id="{654D3253-3E75-4E37-900E-727AC0732087}"/>
            </a:ext>
          </a:extLst>
        </xdr:cNvPr>
        <xdr:cNvSpPr/>
      </xdr:nvSpPr>
      <xdr:spPr>
        <a:xfrm>
          <a:off x="7650480" y="2026920"/>
          <a:ext cx="8991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59827D-501A-48EC-930C-93C9D51FCBD6}" type="TxLink">
            <a:rPr lang="en-US" sz="1600" b="0" i="0" u="none" strike="noStrike">
              <a:solidFill>
                <a:schemeClr val="bg1"/>
              </a:solidFill>
              <a:latin typeface="Aptos Narrow"/>
            </a:rPr>
            <a:pPr algn="ctr"/>
            <a:t>39</a:t>
          </a:fld>
          <a:endParaRPr lang="en-US" sz="1600">
            <a:solidFill>
              <a:schemeClr val="bg1"/>
            </a:solidFill>
          </a:endParaRPr>
        </a:p>
      </xdr:txBody>
    </xdr:sp>
    <xdr:clientData/>
  </xdr:twoCellAnchor>
  <xdr:twoCellAnchor>
    <xdr:from>
      <xdr:col>14</xdr:col>
      <xdr:colOff>495300</xdr:colOff>
      <xdr:row>11</xdr:row>
      <xdr:rowOff>114300</xdr:rowOff>
    </xdr:from>
    <xdr:to>
      <xdr:col>16</xdr:col>
      <xdr:colOff>30480</xdr:colOff>
      <xdr:row>13</xdr:row>
      <xdr:rowOff>114300</xdr:rowOff>
    </xdr:to>
    <xdr:sp macro="" textlink="KPI!F10">
      <xdr:nvSpPr>
        <xdr:cNvPr id="20" name="Rectangle: Rounded Corners 19">
          <a:extLst>
            <a:ext uri="{FF2B5EF4-FFF2-40B4-BE49-F238E27FC236}">
              <a16:creationId xmlns:a16="http://schemas.microsoft.com/office/drawing/2014/main" id="{F5B5300A-74FE-49A4-A120-E941F26023E0}"/>
            </a:ext>
          </a:extLst>
        </xdr:cNvPr>
        <xdr:cNvSpPr/>
      </xdr:nvSpPr>
      <xdr:spPr>
        <a:xfrm>
          <a:off x="9883140" y="2042160"/>
          <a:ext cx="87630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CFE8F2-82B0-42AC-9199-0F6D5ED7A468}" type="TxLink">
            <a:rPr lang="en-US" sz="1600" b="0" i="0" u="none" strike="noStrike">
              <a:solidFill>
                <a:schemeClr val="bg1"/>
              </a:solidFill>
              <a:latin typeface="Aptos Narrow"/>
            </a:rPr>
            <a:pPr algn="ctr"/>
            <a:t>5.3</a:t>
          </a:fld>
          <a:endParaRPr lang="en-US" sz="1600">
            <a:solidFill>
              <a:schemeClr val="bg1"/>
            </a:solidFill>
          </a:endParaRPr>
        </a:p>
      </xdr:txBody>
    </xdr:sp>
    <xdr:clientData/>
  </xdr:twoCellAnchor>
  <xdr:twoCellAnchor>
    <xdr:from>
      <xdr:col>1</xdr:col>
      <xdr:colOff>160020</xdr:colOff>
      <xdr:row>34</xdr:row>
      <xdr:rowOff>121920</xdr:rowOff>
    </xdr:from>
    <xdr:to>
      <xdr:col>6</xdr:col>
      <xdr:colOff>182880</xdr:colOff>
      <xdr:row>52</xdr:row>
      <xdr:rowOff>22860</xdr:rowOff>
    </xdr:to>
    <xdr:graphicFrame macro="">
      <xdr:nvGraphicFramePr>
        <xdr:cNvPr id="21" name="Chart 20">
          <a:extLst>
            <a:ext uri="{FF2B5EF4-FFF2-40B4-BE49-F238E27FC236}">
              <a16:creationId xmlns:a16="http://schemas.microsoft.com/office/drawing/2014/main" id="{42C41206-650F-4777-AB73-8A09E20A3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91440</xdr:colOff>
      <xdr:row>18</xdr:row>
      <xdr:rowOff>30480</xdr:rowOff>
    </xdr:from>
    <xdr:to>
      <xdr:col>13</xdr:col>
      <xdr:colOff>251460</xdr:colOff>
      <xdr:row>31</xdr:row>
      <xdr:rowOff>114300</xdr:rowOff>
    </xdr:to>
    <xdr:graphicFrame macro="">
      <xdr:nvGraphicFramePr>
        <xdr:cNvPr id="22" name="Chart 21">
          <a:extLst>
            <a:ext uri="{FF2B5EF4-FFF2-40B4-BE49-F238E27FC236}">
              <a16:creationId xmlns:a16="http://schemas.microsoft.com/office/drawing/2014/main" id="{339A142A-3442-41DE-8E6D-581B781D4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541020</xdr:colOff>
      <xdr:row>18</xdr:row>
      <xdr:rowOff>30480</xdr:rowOff>
    </xdr:from>
    <xdr:to>
      <xdr:col>20</xdr:col>
      <xdr:colOff>640080</xdr:colOff>
      <xdr:row>31</xdr:row>
      <xdr:rowOff>106680</xdr:rowOff>
    </xdr:to>
    <xdr:graphicFrame macro="">
      <xdr:nvGraphicFramePr>
        <xdr:cNvPr id="23" name="Chart 22">
          <a:extLst>
            <a:ext uri="{FF2B5EF4-FFF2-40B4-BE49-F238E27FC236}">
              <a16:creationId xmlns:a16="http://schemas.microsoft.com/office/drawing/2014/main" id="{21F647E8-A2DE-4A15-93D5-7B15A837F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609600</xdr:colOff>
      <xdr:row>34</xdr:row>
      <xdr:rowOff>114300</xdr:rowOff>
    </xdr:from>
    <xdr:to>
      <xdr:col>13</xdr:col>
      <xdr:colOff>548640</xdr:colOff>
      <xdr:row>51</xdr:row>
      <xdr:rowOff>144780</xdr:rowOff>
    </xdr:to>
    <xdr:graphicFrame macro="">
      <xdr:nvGraphicFramePr>
        <xdr:cNvPr id="24" name="Chart 23">
          <a:extLst>
            <a:ext uri="{FF2B5EF4-FFF2-40B4-BE49-F238E27FC236}">
              <a16:creationId xmlns:a16="http://schemas.microsoft.com/office/drawing/2014/main" id="{81AD561B-87B5-4E24-BE52-26738F450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243840</xdr:colOff>
      <xdr:row>34</xdr:row>
      <xdr:rowOff>106680</xdr:rowOff>
    </xdr:from>
    <xdr:to>
      <xdr:col>20</xdr:col>
      <xdr:colOff>655320</xdr:colOff>
      <xdr:row>51</xdr:row>
      <xdr:rowOff>91440</xdr:rowOff>
    </xdr:to>
    <xdr:graphicFrame macro="">
      <xdr:nvGraphicFramePr>
        <xdr:cNvPr id="25" name="Chart 24">
          <a:extLst>
            <a:ext uri="{FF2B5EF4-FFF2-40B4-BE49-F238E27FC236}">
              <a16:creationId xmlns:a16="http://schemas.microsoft.com/office/drawing/2014/main" id="{E22EE1C4-2281-4A89-B682-4C936B644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60960</xdr:colOff>
      <xdr:row>18</xdr:row>
      <xdr:rowOff>38100</xdr:rowOff>
    </xdr:from>
    <xdr:to>
      <xdr:col>6</xdr:col>
      <xdr:colOff>541020</xdr:colOff>
      <xdr:row>33</xdr:row>
      <xdr:rowOff>0</xdr:rowOff>
    </xdr:to>
    <xdr:graphicFrame macro="">
      <xdr:nvGraphicFramePr>
        <xdr:cNvPr id="10" name="Chart 9">
          <a:extLst>
            <a:ext uri="{FF2B5EF4-FFF2-40B4-BE49-F238E27FC236}">
              <a16:creationId xmlns:a16="http://schemas.microsoft.com/office/drawing/2014/main" id="{E480E646-08AE-4F5C-ACC9-25DF7ECA9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563880</xdr:colOff>
      <xdr:row>1</xdr:row>
      <xdr:rowOff>160021</xdr:rowOff>
    </xdr:from>
    <xdr:to>
      <xdr:col>20</xdr:col>
      <xdr:colOff>220980</xdr:colOff>
      <xdr:row>7</xdr:row>
      <xdr:rowOff>114301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641ABAA-0A73-F86D-72C6-F7C23DA7AA2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63400" y="335281"/>
              <a:ext cx="166878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571500</xdr:colOff>
      <xdr:row>2</xdr:row>
      <xdr:rowOff>114300</xdr:rowOff>
    </xdr:from>
    <xdr:to>
      <xdr:col>4</xdr:col>
      <xdr:colOff>495300</xdr:colOff>
      <xdr:row>5</xdr:row>
      <xdr:rowOff>99060</xdr:rowOff>
    </xdr:to>
    <xdr:pic>
      <xdr:nvPicPr>
        <xdr:cNvPr id="12" name="Graphic 11" descr="Shopping bag with solid fill">
          <a:extLst>
            <a:ext uri="{FF2B5EF4-FFF2-40B4-BE49-F238E27FC236}">
              <a16:creationId xmlns:a16="http://schemas.microsoft.com/office/drawing/2014/main" id="{385443BA-A288-2359-2135-214E349B17A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83180" y="464820"/>
          <a:ext cx="594360" cy="510540"/>
        </a:xfrm>
        <a:prstGeom prst="rect">
          <a:avLst/>
        </a:prstGeom>
      </xdr:spPr>
    </xdr:pic>
    <xdr:clientData/>
  </xdr:twoCellAnchor>
  <xdr:twoCellAnchor editAs="oneCell">
    <xdr:from>
      <xdr:col>14</xdr:col>
      <xdr:colOff>579120</xdr:colOff>
      <xdr:row>2</xdr:row>
      <xdr:rowOff>129540</xdr:rowOff>
    </xdr:from>
    <xdr:to>
      <xdr:col>15</xdr:col>
      <xdr:colOff>502920</xdr:colOff>
      <xdr:row>5</xdr:row>
      <xdr:rowOff>114300</xdr:rowOff>
    </xdr:to>
    <xdr:pic>
      <xdr:nvPicPr>
        <xdr:cNvPr id="14" name="Graphic 13" descr="Shopping bag with solid fill">
          <a:extLst>
            <a:ext uri="{FF2B5EF4-FFF2-40B4-BE49-F238E27FC236}">
              <a16:creationId xmlns:a16="http://schemas.microsoft.com/office/drawing/2014/main" id="{94EDD0C7-E066-49E5-ADDB-8A739EFB2E6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66960" y="480060"/>
          <a:ext cx="594360" cy="510540"/>
        </a:xfrm>
        <a:prstGeom prst="rect">
          <a:avLst/>
        </a:prstGeom>
      </xdr:spPr>
    </xdr:pic>
    <xdr:clientData/>
  </xdr:twoCellAnchor>
  <xdr:twoCellAnchor editAs="oneCell">
    <xdr:from>
      <xdr:col>17</xdr:col>
      <xdr:colOff>571500</xdr:colOff>
      <xdr:row>8</xdr:row>
      <xdr:rowOff>68580</xdr:rowOff>
    </xdr:from>
    <xdr:to>
      <xdr:col>20</xdr:col>
      <xdr:colOff>320040</xdr:colOff>
      <xdr:row>17</xdr:row>
      <xdr:rowOff>53340</xdr:rowOff>
    </xdr:to>
    <mc:AlternateContent xmlns:mc="http://schemas.openxmlformats.org/markup-compatibility/2006" xmlns:a14="http://schemas.microsoft.com/office/drawing/2010/main">
      <mc:Choice Requires="a14">
        <xdr:graphicFrame macro="">
          <xdr:nvGraphicFramePr>
            <xdr:cNvPr id="15" name="Preferred day shopping ">
              <a:extLst>
                <a:ext uri="{FF2B5EF4-FFF2-40B4-BE49-F238E27FC236}">
                  <a16:creationId xmlns:a16="http://schemas.microsoft.com/office/drawing/2014/main" id="{DC8BFD20-D067-7F09-FFD6-21A7FE4677C6}"/>
                </a:ext>
              </a:extLst>
            </xdr:cNvPr>
            <xdr:cNvGraphicFramePr/>
          </xdr:nvGraphicFramePr>
          <xdr:xfrm>
            <a:off x="0" y="0"/>
            <a:ext cx="0" cy="0"/>
          </xdr:xfrm>
          <a:graphic>
            <a:graphicData uri="http://schemas.microsoft.com/office/drawing/2010/slicer">
              <sle:slicer xmlns:sle="http://schemas.microsoft.com/office/drawing/2010/slicer" name="Preferred day shopping "/>
            </a:graphicData>
          </a:graphic>
        </xdr:graphicFrame>
      </mc:Choice>
      <mc:Fallback xmlns="">
        <xdr:sp macro="" textlink="">
          <xdr:nvSpPr>
            <xdr:cNvPr id="0" name=""/>
            <xdr:cNvSpPr>
              <a:spLocks noTextEdit="1"/>
            </xdr:cNvSpPr>
          </xdr:nvSpPr>
          <xdr:spPr>
            <a:xfrm>
              <a:off x="11971020" y="1470660"/>
              <a:ext cx="176022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6</xdr:row>
      <xdr:rowOff>22860</xdr:rowOff>
    </xdr:from>
    <xdr:to>
      <xdr:col>10</xdr:col>
      <xdr:colOff>350520</xdr:colOff>
      <xdr:row>21</xdr:row>
      <xdr:rowOff>22860</xdr:rowOff>
    </xdr:to>
    <xdr:graphicFrame macro="">
      <xdr:nvGraphicFramePr>
        <xdr:cNvPr id="2" name="Chart 1">
          <a:extLst>
            <a:ext uri="{FF2B5EF4-FFF2-40B4-BE49-F238E27FC236}">
              <a16:creationId xmlns:a16="http://schemas.microsoft.com/office/drawing/2014/main" id="{2FC0DC11-E862-33D5-1ABE-9FE87D1D1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464820</xdr:colOff>
      <xdr:row>3</xdr:row>
      <xdr:rowOff>160020</xdr:rowOff>
    </xdr:from>
    <xdr:to>
      <xdr:col>13</xdr:col>
      <xdr:colOff>152400</xdr:colOff>
      <xdr:row>20</xdr:row>
      <xdr:rowOff>129540</xdr:rowOff>
    </xdr:to>
    <xdr:graphicFrame macro="">
      <xdr:nvGraphicFramePr>
        <xdr:cNvPr id="4" name="Chart 3">
          <a:extLst>
            <a:ext uri="{FF2B5EF4-FFF2-40B4-BE49-F238E27FC236}">
              <a16:creationId xmlns:a16="http://schemas.microsoft.com/office/drawing/2014/main" id="{1C60833A-AAD0-08D7-1636-B65E08D9C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4</xdr:row>
      <xdr:rowOff>152400</xdr:rowOff>
    </xdr:from>
    <xdr:to>
      <xdr:col>14</xdr:col>
      <xdr:colOff>220980</xdr:colOff>
      <xdr:row>23</xdr:row>
      <xdr:rowOff>68580</xdr:rowOff>
    </xdr:to>
    <xdr:graphicFrame macro="">
      <xdr:nvGraphicFramePr>
        <xdr:cNvPr id="2" name="Chart 1">
          <a:extLst>
            <a:ext uri="{FF2B5EF4-FFF2-40B4-BE49-F238E27FC236}">
              <a16:creationId xmlns:a16="http://schemas.microsoft.com/office/drawing/2014/main" id="{04BC8018-D340-EB0F-BB91-BDEB2E7C3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327660</xdr:colOff>
      <xdr:row>3</xdr:row>
      <xdr:rowOff>30480</xdr:rowOff>
    </xdr:from>
    <xdr:to>
      <xdr:col>15</xdr:col>
      <xdr:colOff>441960</xdr:colOff>
      <xdr:row>21</xdr:row>
      <xdr:rowOff>167640</xdr:rowOff>
    </xdr:to>
    <xdr:graphicFrame macro="">
      <xdr:nvGraphicFramePr>
        <xdr:cNvPr id="2" name="Chart 1">
          <a:extLst>
            <a:ext uri="{FF2B5EF4-FFF2-40B4-BE49-F238E27FC236}">
              <a16:creationId xmlns:a16="http://schemas.microsoft.com/office/drawing/2014/main" id="{4C202399-D9B1-7B23-93F5-D11A53B5D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152400</xdr:colOff>
      <xdr:row>4</xdr:row>
      <xdr:rowOff>45720</xdr:rowOff>
    </xdr:from>
    <xdr:to>
      <xdr:col>14</xdr:col>
      <xdr:colOff>358140</xdr:colOff>
      <xdr:row>22</xdr:row>
      <xdr:rowOff>137160</xdr:rowOff>
    </xdr:to>
    <xdr:graphicFrame macro="">
      <xdr:nvGraphicFramePr>
        <xdr:cNvPr id="2" name="Chart 1">
          <a:extLst>
            <a:ext uri="{FF2B5EF4-FFF2-40B4-BE49-F238E27FC236}">
              <a16:creationId xmlns:a16="http://schemas.microsoft.com/office/drawing/2014/main" id="{71658184-6118-03EB-B9E2-1AE319CC8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182880</xdr:colOff>
      <xdr:row>6</xdr:row>
      <xdr:rowOff>60960</xdr:rowOff>
    </xdr:from>
    <xdr:to>
      <xdr:col>12</xdr:col>
      <xdr:colOff>487680</xdr:colOff>
      <xdr:row>21</xdr:row>
      <xdr:rowOff>60960</xdr:rowOff>
    </xdr:to>
    <xdr:graphicFrame macro="">
      <xdr:nvGraphicFramePr>
        <xdr:cNvPr id="5" name="Chart 4">
          <a:extLst>
            <a:ext uri="{FF2B5EF4-FFF2-40B4-BE49-F238E27FC236}">
              <a16:creationId xmlns:a16="http://schemas.microsoft.com/office/drawing/2014/main" id="{4DEDB7B1-D981-4B92-291C-09FB353CB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jan, Pranav" refreshedDate="46117.63012465278" createdVersion="8" refreshedVersion="8" minRefreshableVersion="3" recordCount="200" xr:uid="{F603CDA4-26D8-466C-9462-AC8E71313477}">
  <cacheSource type="worksheet">
    <worksheetSource name="Table2"/>
  </cacheSource>
  <cacheFields count="8">
    <cacheField name="CustomerID" numFmtId="0">
      <sharedItems containsSemiMixedTypes="0" containsString="0" containsNumber="1" containsInteger="1" minValue="8" maxValue="4931" count="193">
        <n v="361"/>
        <n v="4245"/>
        <n v="1798"/>
        <n v="2613"/>
        <n v="2945"/>
        <n v="3313"/>
        <n v="461"/>
        <n v="3209"/>
        <n v="1905"/>
        <n v="3123"/>
        <n v="3818"/>
        <n v="1413"/>
        <n v="1687"/>
        <n v="778"/>
        <n v="4362"/>
        <n v="2570"/>
        <n v="1555"/>
        <n v="3283"/>
        <n v="2765"/>
        <n v="1157"/>
        <n v="1383"/>
        <n v="1578"/>
        <n v="4652"/>
        <n v="2417"/>
        <n v="2639"/>
        <n v="2177"/>
        <n v="4927"/>
        <n v="1884"/>
        <n v="100"/>
        <n v="1867"/>
        <n v="3610"/>
        <n v="580"/>
        <n v="1941"/>
        <n v="1756"/>
        <n v="601"/>
        <n v="3935"/>
        <n v="3421"/>
        <n v="613"/>
        <n v="842"/>
        <n v="384"/>
        <n v="2367"/>
        <n v="1772"/>
        <n v="1877"/>
        <n v="4651"/>
        <n v="1734"/>
        <n v="1685"/>
        <n v="1850"/>
        <n v="4259"/>
        <n v="2260"/>
        <n v="2813"/>
        <n v="2956"/>
        <n v="3253"/>
        <n v="423"/>
        <n v="406"/>
        <n v="1656"/>
        <n v="2218"/>
        <n v="3148"/>
        <n v="3808"/>
        <n v="4379"/>
        <n v="269"/>
        <n v="2607"/>
        <n v="2963"/>
        <n v="3298"/>
        <n v="475"/>
        <n v="2597"/>
        <n v="1076"/>
        <n v="1529"/>
        <n v="3892"/>
        <n v="1094"/>
        <n v="2654"/>
        <n v="3225"/>
        <n v="3381"/>
        <n v="3285"/>
        <n v="4468"/>
        <n v="1223"/>
        <n v="855"/>
        <n v="2804"/>
        <n v="4204"/>
        <n v="1530"/>
        <n v="4684"/>
        <n v="4744"/>
        <n v="2461"/>
        <n v="1921"/>
        <n v="1780"/>
        <n v="670"/>
        <n v="654"/>
        <n v="3189"/>
        <n v="3756"/>
        <n v="2164"/>
        <n v="433"/>
        <n v="3245"/>
        <n v="4252"/>
        <n v="773"/>
        <n v="3228"/>
        <n v="4715"/>
        <n v="822"/>
        <n v="4632"/>
        <n v="2807"/>
        <n v="1164"/>
        <n v="2700"/>
        <n v="8"/>
        <n v="1152"/>
        <n v="713"/>
        <n v="818"/>
        <n v="3510"/>
        <n v="338"/>
        <n v="2209"/>
        <n v="3512"/>
        <n v="4182"/>
        <n v="2066"/>
        <n v="1995"/>
        <n v="1523"/>
        <n v="1099"/>
        <n v="309"/>
        <n v="4185"/>
        <n v="4604"/>
        <n v="96"/>
        <n v="110"/>
        <n v="4487"/>
        <n v="1813"/>
        <n v="867"/>
        <n v="2369"/>
        <n v="4735"/>
        <n v="2292"/>
        <n v="2636"/>
        <n v="2191"/>
        <n v="699"/>
        <n v="30"/>
        <n v="2954"/>
        <n v="949"/>
        <n v="3125"/>
        <n v="4169"/>
        <n v="95"/>
        <n v="4931"/>
        <n v="4930"/>
        <n v="1190"/>
        <n v="1689"/>
        <n v="4385"/>
        <n v="4294"/>
        <n v="848"/>
        <n v="2614"/>
        <n v="3645"/>
        <n v="4241"/>
        <n v="3111"/>
        <n v="58"/>
        <n v="4502"/>
        <n v="3069"/>
        <n v="1916"/>
        <n v="3256"/>
        <n v="3542"/>
        <n v="4687"/>
        <n v="769"/>
        <n v="4712"/>
        <n v="1519"/>
        <n v="247"/>
        <n v="2090"/>
        <n v="982"/>
        <n v="2469"/>
        <n v="4527"/>
        <n v="4080"/>
        <n v="800"/>
        <n v="3795"/>
        <n v="2053"/>
        <n v="2828"/>
        <n v="2281"/>
        <n v="4106"/>
        <n v="3675"/>
        <n v="3140"/>
        <n v="578"/>
        <n v="1465"/>
        <n v="3824"/>
        <n v="552"/>
        <n v="531"/>
        <n v="844"/>
        <n v="4398"/>
        <n v="3925"/>
        <n v="612"/>
        <n v="2837"/>
        <n v="4348"/>
        <n v="1865"/>
        <n v="3784"/>
        <n v="3707"/>
        <n v="1466"/>
        <n v="4877"/>
        <n v="409"/>
        <n v="2380"/>
        <n v="2718"/>
        <n v="3100"/>
        <n v="4675"/>
        <n v="4304"/>
        <n v="4124"/>
        <n v="1833"/>
        <n v="2290"/>
      </sharedItems>
    </cacheField>
    <cacheField name="Gender" numFmtId="0">
      <sharedItems count="2">
        <s v="Male"/>
        <s v="Female"/>
      </sharedItems>
    </cacheField>
    <cacheField name="Age" numFmtId="0">
      <sharedItems containsSemiMixedTypes="0" containsString="0" containsNumber="1" containsInteger="1" minValue="18" maxValue="70" count="51">
        <n v="19"/>
        <n v="21"/>
        <n v="20"/>
        <n v="23"/>
        <n v="31"/>
        <n v="22"/>
        <n v="35"/>
        <n v="64"/>
        <n v="30"/>
        <n v="67"/>
        <n v="58"/>
        <n v="24"/>
        <n v="37"/>
        <n v="52"/>
        <n v="25"/>
        <n v="46"/>
        <n v="54"/>
        <n v="29"/>
        <n v="45"/>
        <n v="40"/>
        <n v="60"/>
        <n v="53"/>
        <n v="18"/>
        <n v="49"/>
        <n v="42"/>
        <n v="36"/>
        <n v="65"/>
        <n v="48"/>
        <n v="50"/>
        <n v="27"/>
        <n v="33"/>
        <n v="59"/>
        <n v="47"/>
        <n v="51"/>
        <n v="69"/>
        <n v="70"/>
        <n v="63"/>
        <n v="43"/>
        <n v="68"/>
        <n v="32"/>
        <n v="26"/>
        <n v="57"/>
        <n v="38"/>
        <n v="55"/>
        <n v="34"/>
        <n v="66"/>
        <n v="39"/>
        <n v="44"/>
        <n v="28"/>
        <n v="56"/>
        <n v="41"/>
      </sharedItems>
      <fieldGroup base="2">
        <rangePr startNum="18" endNum="70" groupInterval="2"/>
        <groupItems count="28">
          <s v="&lt;18"/>
          <s v="18-19"/>
          <s v="20-21"/>
          <s v="22-23"/>
          <s v="24-25"/>
          <s v="26-27"/>
          <s v="28-29"/>
          <s v="30-31"/>
          <s v="32-33"/>
          <s v="34-35"/>
          <s v="36-37"/>
          <s v="38-39"/>
          <s v="40-41"/>
          <s v="42-43"/>
          <s v="44-45"/>
          <s v="46-47"/>
          <s v="48-49"/>
          <s v="50-51"/>
          <s v="52-53"/>
          <s v="54-55"/>
          <s v="56-57"/>
          <s v="58-59"/>
          <s v="60-61"/>
          <s v="62-63"/>
          <s v="64-65"/>
          <s v="66-67"/>
          <s v="68-70"/>
          <s v="&gt;70"/>
        </groupItems>
      </fieldGroup>
    </cacheField>
    <cacheField name="Annual Income (k$)" numFmtId="0">
      <sharedItems containsSemiMixedTypes="0" containsString="0" containsNumber="1" containsInteger="1" minValue="15" maxValue="137"/>
    </cacheField>
    <cacheField name="Spending Score (1-100)" numFmtId="0">
      <sharedItems containsSemiMixedTypes="0" containsString="0" containsNumber="1" containsInteger="1" minValue="1" maxValue="99"/>
    </cacheField>
    <cacheField name="Preferred day shopping " numFmtId="0">
      <sharedItems count="7">
        <s v="Thursday"/>
        <s v="Friday"/>
        <s v="Saturday"/>
        <s v="Wednesday"/>
        <s v="Monday"/>
        <s v="Sunday"/>
        <s v="Tuesday"/>
      </sharedItems>
    </cacheField>
    <cacheField name="Feedback rating (1-10)" numFmtId="0">
      <sharedItems containsSemiMixedTypes="0" containsString="0" containsNumber="1" containsInteger="1" minValue="1" maxValue="10"/>
    </cacheField>
    <cacheField name="Started year " numFmtId="0">
      <sharedItems containsSemiMixedTypes="0" containsString="0" containsNumber="1" containsInteger="1" minValue="1985" maxValue="2026" count="42">
        <n v="2002"/>
        <n v="1991"/>
        <n v="2004"/>
        <n v="1986"/>
        <n v="1993"/>
        <n v="1985"/>
        <n v="2011"/>
        <n v="2020"/>
        <n v="2021"/>
        <n v="2024"/>
        <n v="2009"/>
        <n v="1997"/>
        <n v="2003"/>
        <n v="2012"/>
        <n v="2026"/>
        <n v="2008"/>
        <n v="2014"/>
        <n v="2010"/>
        <n v="1990"/>
        <n v="1994"/>
        <n v="2019"/>
        <n v="2001"/>
        <n v="1992"/>
        <n v="1987"/>
        <n v="2007"/>
        <n v="2018"/>
        <n v="2025"/>
        <n v="1988"/>
        <n v="1998"/>
        <n v="2023"/>
        <n v="1989"/>
        <n v="2022"/>
        <n v="2017"/>
        <n v="1996"/>
        <n v="2015"/>
        <n v="2000"/>
        <n v="2013"/>
        <n v="2006"/>
        <n v="2016"/>
        <n v="2005"/>
        <n v="1999"/>
        <n v="1995"/>
      </sharedItems>
      <fieldGroup base="7">
        <rangePr startNum="1985" endNum="2026" groupInterval="2"/>
        <groupItems count="23">
          <s v="&lt;1985"/>
          <s v="1985-1986"/>
          <s v="1987-1988"/>
          <s v="1989-1990"/>
          <s v="1991-1992"/>
          <s v="1993-1994"/>
          <s v="1995-1996"/>
          <s v="1997-1998"/>
          <s v="1999-2000"/>
          <s v="2001-2002"/>
          <s v="2003-2004"/>
          <s v="2005-2006"/>
          <s v="2007-2008"/>
          <s v="2009-2010"/>
          <s v="2011-2012"/>
          <s v="2013-2014"/>
          <s v="2015-2016"/>
          <s v="2017-2018"/>
          <s v="2019-2020"/>
          <s v="2021-2022"/>
          <s v="2023-2024"/>
          <s v="2025-2026"/>
          <s v="&gt;2027"/>
        </groupItems>
      </fieldGroup>
    </cacheField>
  </cacheFields>
  <extLst>
    <ext xmlns:x14="http://schemas.microsoft.com/office/spreadsheetml/2009/9/main" uri="{725AE2AE-9491-48be-B2B4-4EB974FC3084}">
      <x14:pivotCacheDefinition pivotCacheId="1444450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15"/>
    <n v="39"/>
    <x v="0"/>
    <n v="4"/>
    <x v="0"/>
  </r>
  <r>
    <x v="1"/>
    <x v="0"/>
    <x v="1"/>
    <n v="15"/>
    <n v="81"/>
    <x v="0"/>
    <n v="9"/>
    <x v="1"/>
  </r>
  <r>
    <x v="2"/>
    <x v="1"/>
    <x v="2"/>
    <n v="16"/>
    <n v="6"/>
    <x v="1"/>
    <n v="3"/>
    <x v="2"/>
  </r>
  <r>
    <x v="3"/>
    <x v="1"/>
    <x v="3"/>
    <n v="16"/>
    <n v="77"/>
    <x v="2"/>
    <n v="1"/>
    <x v="3"/>
  </r>
  <r>
    <x v="4"/>
    <x v="1"/>
    <x v="4"/>
    <n v="17"/>
    <n v="40"/>
    <x v="3"/>
    <n v="4"/>
    <x v="4"/>
  </r>
  <r>
    <x v="5"/>
    <x v="1"/>
    <x v="5"/>
    <n v="17"/>
    <n v="76"/>
    <x v="3"/>
    <n v="6"/>
    <x v="5"/>
  </r>
  <r>
    <x v="6"/>
    <x v="1"/>
    <x v="6"/>
    <n v="18"/>
    <n v="6"/>
    <x v="1"/>
    <n v="10"/>
    <x v="6"/>
  </r>
  <r>
    <x v="7"/>
    <x v="1"/>
    <x v="3"/>
    <n v="18"/>
    <n v="94"/>
    <x v="1"/>
    <n v="5"/>
    <x v="7"/>
  </r>
  <r>
    <x v="8"/>
    <x v="0"/>
    <x v="7"/>
    <n v="30"/>
    <n v="3"/>
    <x v="1"/>
    <n v="5"/>
    <x v="8"/>
  </r>
  <r>
    <x v="9"/>
    <x v="1"/>
    <x v="8"/>
    <n v="35"/>
    <n v="72"/>
    <x v="3"/>
    <n v="2"/>
    <x v="9"/>
  </r>
  <r>
    <x v="10"/>
    <x v="0"/>
    <x v="9"/>
    <n v="19"/>
    <n v="14"/>
    <x v="4"/>
    <n v="6"/>
    <x v="10"/>
  </r>
  <r>
    <x v="11"/>
    <x v="1"/>
    <x v="6"/>
    <n v="19"/>
    <n v="99"/>
    <x v="3"/>
    <n v="9"/>
    <x v="11"/>
  </r>
  <r>
    <x v="12"/>
    <x v="1"/>
    <x v="10"/>
    <n v="20"/>
    <n v="15"/>
    <x v="0"/>
    <n v="4"/>
    <x v="12"/>
  </r>
  <r>
    <x v="13"/>
    <x v="1"/>
    <x v="11"/>
    <n v="20"/>
    <n v="77"/>
    <x v="0"/>
    <n v="7"/>
    <x v="13"/>
  </r>
  <r>
    <x v="14"/>
    <x v="0"/>
    <x v="12"/>
    <n v="20"/>
    <n v="13"/>
    <x v="5"/>
    <n v="8"/>
    <x v="14"/>
  </r>
  <r>
    <x v="15"/>
    <x v="0"/>
    <x v="5"/>
    <n v="20"/>
    <n v="79"/>
    <x v="4"/>
    <n v="8"/>
    <x v="12"/>
  </r>
  <r>
    <x v="16"/>
    <x v="1"/>
    <x v="6"/>
    <n v="21"/>
    <n v="35"/>
    <x v="2"/>
    <n v="5"/>
    <x v="15"/>
  </r>
  <r>
    <x v="17"/>
    <x v="0"/>
    <x v="2"/>
    <n v="21"/>
    <n v="66"/>
    <x v="5"/>
    <n v="2"/>
    <x v="16"/>
  </r>
  <r>
    <x v="18"/>
    <x v="0"/>
    <x v="13"/>
    <n v="23"/>
    <n v="29"/>
    <x v="3"/>
    <n v="2"/>
    <x v="17"/>
  </r>
  <r>
    <x v="19"/>
    <x v="1"/>
    <x v="6"/>
    <n v="23"/>
    <n v="98"/>
    <x v="6"/>
    <n v="5"/>
    <x v="18"/>
  </r>
  <r>
    <x v="20"/>
    <x v="0"/>
    <x v="6"/>
    <n v="24"/>
    <n v="35"/>
    <x v="4"/>
    <n v="7"/>
    <x v="19"/>
  </r>
  <r>
    <x v="21"/>
    <x v="0"/>
    <x v="14"/>
    <n v="24"/>
    <n v="73"/>
    <x v="0"/>
    <n v="7"/>
    <x v="17"/>
  </r>
  <r>
    <x v="22"/>
    <x v="1"/>
    <x v="15"/>
    <n v="25"/>
    <n v="5"/>
    <x v="1"/>
    <n v="4"/>
    <x v="20"/>
  </r>
  <r>
    <x v="23"/>
    <x v="0"/>
    <x v="4"/>
    <n v="25"/>
    <n v="73"/>
    <x v="5"/>
    <n v="1"/>
    <x v="17"/>
  </r>
  <r>
    <x v="24"/>
    <x v="1"/>
    <x v="16"/>
    <n v="28"/>
    <n v="14"/>
    <x v="3"/>
    <n v="3"/>
    <x v="21"/>
  </r>
  <r>
    <x v="25"/>
    <x v="0"/>
    <x v="17"/>
    <n v="28"/>
    <n v="82"/>
    <x v="4"/>
    <n v="2"/>
    <x v="8"/>
  </r>
  <r>
    <x v="26"/>
    <x v="1"/>
    <x v="18"/>
    <n v="28"/>
    <n v="32"/>
    <x v="0"/>
    <n v="4"/>
    <x v="22"/>
  </r>
  <r>
    <x v="27"/>
    <x v="0"/>
    <x v="6"/>
    <n v="28"/>
    <n v="61"/>
    <x v="3"/>
    <n v="2"/>
    <x v="23"/>
  </r>
  <r>
    <x v="28"/>
    <x v="1"/>
    <x v="19"/>
    <n v="29"/>
    <n v="31"/>
    <x v="2"/>
    <n v="1"/>
    <x v="23"/>
  </r>
  <r>
    <x v="29"/>
    <x v="1"/>
    <x v="3"/>
    <n v="29"/>
    <n v="87"/>
    <x v="5"/>
    <n v="6"/>
    <x v="24"/>
  </r>
  <r>
    <x v="30"/>
    <x v="0"/>
    <x v="20"/>
    <n v="30"/>
    <n v="4"/>
    <x v="3"/>
    <n v="8"/>
    <x v="25"/>
  </r>
  <r>
    <x v="31"/>
    <x v="1"/>
    <x v="1"/>
    <n v="30"/>
    <n v="73"/>
    <x v="2"/>
    <n v="4"/>
    <x v="26"/>
  </r>
  <r>
    <x v="32"/>
    <x v="0"/>
    <x v="21"/>
    <n v="33"/>
    <n v="4"/>
    <x v="4"/>
    <n v="7"/>
    <x v="11"/>
  </r>
  <r>
    <x v="33"/>
    <x v="0"/>
    <x v="22"/>
    <n v="33"/>
    <n v="92"/>
    <x v="5"/>
    <n v="7"/>
    <x v="11"/>
  </r>
  <r>
    <x v="34"/>
    <x v="1"/>
    <x v="23"/>
    <n v="33"/>
    <n v="14"/>
    <x v="2"/>
    <n v="6"/>
    <x v="27"/>
  </r>
  <r>
    <x v="35"/>
    <x v="1"/>
    <x v="1"/>
    <n v="33"/>
    <n v="81"/>
    <x v="0"/>
    <n v="6"/>
    <x v="28"/>
  </r>
  <r>
    <x v="36"/>
    <x v="1"/>
    <x v="24"/>
    <n v="34"/>
    <n v="17"/>
    <x v="6"/>
    <n v="8"/>
    <x v="14"/>
  </r>
  <r>
    <x v="37"/>
    <x v="1"/>
    <x v="8"/>
    <n v="34"/>
    <n v="73"/>
    <x v="2"/>
    <n v="5"/>
    <x v="23"/>
  </r>
  <r>
    <x v="38"/>
    <x v="1"/>
    <x v="25"/>
    <n v="37"/>
    <n v="26"/>
    <x v="1"/>
    <n v="9"/>
    <x v="21"/>
  </r>
  <r>
    <x v="39"/>
    <x v="1"/>
    <x v="2"/>
    <n v="37"/>
    <n v="75"/>
    <x v="5"/>
    <n v="5"/>
    <x v="11"/>
  </r>
  <r>
    <x v="40"/>
    <x v="1"/>
    <x v="26"/>
    <n v="38"/>
    <n v="35"/>
    <x v="6"/>
    <n v="8"/>
    <x v="28"/>
  </r>
  <r>
    <x v="41"/>
    <x v="0"/>
    <x v="11"/>
    <n v="38"/>
    <n v="92"/>
    <x v="5"/>
    <n v="5"/>
    <x v="10"/>
  </r>
  <r>
    <x v="42"/>
    <x v="0"/>
    <x v="27"/>
    <n v="39"/>
    <n v="36"/>
    <x v="3"/>
    <n v="5"/>
    <x v="17"/>
  </r>
  <r>
    <x v="43"/>
    <x v="1"/>
    <x v="4"/>
    <n v="39"/>
    <n v="61"/>
    <x v="2"/>
    <n v="2"/>
    <x v="13"/>
  </r>
  <r>
    <x v="44"/>
    <x v="1"/>
    <x v="23"/>
    <n v="39"/>
    <n v="28"/>
    <x v="3"/>
    <n v="1"/>
    <x v="13"/>
  </r>
  <r>
    <x v="45"/>
    <x v="1"/>
    <x v="11"/>
    <n v="39"/>
    <n v="65"/>
    <x v="3"/>
    <n v="6"/>
    <x v="19"/>
  </r>
  <r>
    <x v="46"/>
    <x v="1"/>
    <x v="28"/>
    <n v="40"/>
    <n v="55"/>
    <x v="1"/>
    <n v="9"/>
    <x v="29"/>
  </r>
  <r>
    <x v="47"/>
    <x v="1"/>
    <x v="29"/>
    <n v="40"/>
    <n v="47"/>
    <x v="4"/>
    <n v="5"/>
    <x v="21"/>
  </r>
  <r>
    <x v="48"/>
    <x v="1"/>
    <x v="17"/>
    <n v="40"/>
    <n v="42"/>
    <x v="2"/>
    <n v="4"/>
    <x v="30"/>
  </r>
  <r>
    <x v="49"/>
    <x v="1"/>
    <x v="4"/>
    <n v="40"/>
    <n v="42"/>
    <x v="0"/>
    <n v="4"/>
    <x v="13"/>
  </r>
  <r>
    <x v="50"/>
    <x v="1"/>
    <x v="23"/>
    <n v="42"/>
    <n v="52"/>
    <x v="1"/>
    <n v="10"/>
    <x v="31"/>
  </r>
  <r>
    <x v="51"/>
    <x v="0"/>
    <x v="30"/>
    <n v="42"/>
    <n v="60"/>
    <x v="6"/>
    <n v="1"/>
    <x v="26"/>
  </r>
  <r>
    <x v="52"/>
    <x v="1"/>
    <x v="4"/>
    <n v="43"/>
    <n v="54"/>
    <x v="5"/>
    <n v="2"/>
    <x v="8"/>
  </r>
  <r>
    <x v="53"/>
    <x v="0"/>
    <x v="31"/>
    <n v="43"/>
    <n v="60"/>
    <x v="4"/>
    <n v="2"/>
    <x v="18"/>
  </r>
  <r>
    <x v="54"/>
    <x v="1"/>
    <x v="28"/>
    <n v="43"/>
    <n v="45"/>
    <x v="3"/>
    <n v="10"/>
    <x v="24"/>
  </r>
  <r>
    <x v="55"/>
    <x v="0"/>
    <x v="32"/>
    <n v="43"/>
    <n v="41"/>
    <x v="6"/>
    <n v="9"/>
    <x v="32"/>
  </r>
  <r>
    <x v="56"/>
    <x v="1"/>
    <x v="33"/>
    <n v="44"/>
    <n v="50"/>
    <x v="2"/>
    <n v="8"/>
    <x v="33"/>
  </r>
  <r>
    <x v="57"/>
    <x v="0"/>
    <x v="34"/>
    <n v="44"/>
    <n v="46"/>
    <x v="5"/>
    <n v="3"/>
    <x v="22"/>
  </r>
  <r>
    <x v="58"/>
    <x v="1"/>
    <x v="29"/>
    <n v="46"/>
    <n v="51"/>
    <x v="3"/>
    <n v="10"/>
    <x v="6"/>
  </r>
  <r>
    <x v="59"/>
    <x v="0"/>
    <x v="21"/>
    <n v="46"/>
    <n v="46"/>
    <x v="0"/>
    <n v="7"/>
    <x v="3"/>
  </r>
  <r>
    <x v="60"/>
    <x v="0"/>
    <x v="35"/>
    <n v="46"/>
    <n v="56"/>
    <x v="2"/>
    <n v="9"/>
    <x v="16"/>
  </r>
  <r>
    <x v="61"/>
    <x v="0"/>
    <x v="0"/>
    <n v="46"/>
    <n v="55"/>
    <x v="5"/>
    <n v="1"/>
    <x v="12"/>
  </r>
  <r>
    <x v="62"/>
    <x v="1"/>
    <x v="9"/>
    <n v="47"/>
    <n v="52"/>
    <x v="5"/>
    <n v="10"/>
    <x v="34"/>
  </r>
  <r>
    <x v="63"/>
    <x v="1"/>
    <x v="16"/>
    <n v="47"/>
    <n v="59"/>
    <x v="4"/>
    <n v="9"/>
    <x v="11"/>
  </r>
  <r>
    <x v="64"/>
    <x v="0"/>
    <x v="36"/>
    <n v="48"/>
    <n v="51"/>
    <x v="6"/>
    <n v="10"/>
    <x v="0"/>
  </r>
  <r>
    <x v="65"/>
    <x v="0"/>
    <x v="22"/>
    <n v="48"/>
    <n v="59"/>
    <x v="1"/>
    <n v="3"/>
    <x v="9"/>
  </r>
  <r>
    <x v="66"/>
    <x v="1"/>
    <x v="37"/>
    <n v="48"/>
    <n v="50"/>
    <x v="2"/>
    <n v="5"/>
    <x v="26"/>
  </r>
  <r>
    <x v="67"/>
    <x v="1"/>
    <x v="38"/>
    <n v="48"/>
    <n v="48"/>
    <x v="2"/>
    <n v="8"/>
    <x v="9"/>
  </r>
  <r>
    <x v="68"/>
    <x v="0"/>
    <x v="0"/>
    <n v="48"/>
    <n v="59"/>
    <x v="4"/>
    <n v="4"/>
    <x v="35"/>
  </r>
  <r>
    <x v="69"/>
    <x v="1"/>
    <x v="39"/>
    <n v="48"/>
    <n v="47"/>
    <x v="3"/>
    <n v="6"/>
    <x v="36"/>
  </r>
  <r>
    <x v="70"/>
    <x v="0"/>
    <x v="35"/>
    <n v="49"/>
    <n v="55"/>
    <x v="4"/>
    <n v="7"/>
    <x v="26"/>
  </r>
  <r>
    <x v="71"/>
    <x v="1"/>
    <x v="32"/>
    <n v="49"/>
    <n v="42"/>
    <x v="1"/>
    <n v="5"/>
    <x v="36"/>
  </r>
  <r>
    <x v="72"/>
    <x v="1"/>
    <x v="20"/>
    <n v="50"/>
    <n v="49"/>
    <x v="6"/>
    <n v="2"/>
    <x v="28"/>
  </r>
  <r>
    <x v="73"/>
    <x v="1"/>
    <x v="20"/>
    <n v="50"/>
    <n v="56"/>
    <x v="5"/>
    <n v="10"/>
    <x v="20"/>
  </r>
  <r>
    <x v="74"/>
    <x v="0"/>
    <x v="31"/>
    <n v="54"/>
    <n v="47"/>
    <x v="5"/>
    <n v="4"/>
    <x v="32"/>
  </r>
  <r>
    <x v="75"/>
    <x v="0"/>
    <x v="40"/>
    <n v="54"/>
    <n v="54"/>
    <x v="5"/>
    <n v="4"/>
    <x v="19"/>
  </r>
  <r>
    <x v="76"/>
    <x v="1"/>
    <x v="18"/>
    <n v="54"/>
    <n v="53"/>
    <x v="5"/>
    <n v="1"/>
    <x v="10"/>
  </r>
  <r>
    <x v="77"/>
    <x v="0"/>
    <x v="19"/>
    <n v="54"/>
    <n v="48"/>
    <x v="5"/>
    <n v="3"/>
    <x v="19"/>
  </r>
  <r>
    <x v="78"/>
    <x v="1"/>
    <x v="3"/>
    <n v="54"/>
    <n v="52"/>
    <x v="3"/>
    <n v="10"/>
    <x v="37"/>
  </r>
  <r>
    <x v="79"/>
    <x v="1"/>
    <x v="23"/>
    <n v="54"/>
    <n v="42"/>
    <x v="2"/>
    <n v="2"/>
    <x v="1"/>
  </r>
  <r>
    <x v="80"/>
    <x v="0"/>
    <x v="41"/>
    <n v="54"/>
    <n v="51"/>
    <x v="2"/>
    <n v="5"/>
    <x v="29"/>
  </r>
  <r>
    <x v="81"/>
    <x v="0"/>
    <x v="42"/>
    <n v="54"/>
    <n v="55"/>
    <x v="5"/>
    <n v="2"/>
    <x v="0"/>
  </r>
  <r>
    <x v="82"/>
    <x v="0"/>
    <x v="9"/>
    <n v="54"/>
    <n v="41"/>
    <x v="2"/>
    <n v="1"/>
    <x v="19"/>
  </r>
  <r>
    <x v="83"/>
    <x v="1"/>
    <x v="15"/>
    <n v="54"/>
    <n v="44"/>
    <x v="6"/>
    <n v="3"/>
    <x v="24"/>
  </r>
  <r>
    <x v="84"/>
    <x v="1"/>
    <x v="1"/>
    <n v="54"/>
    <n v="57"/>
    <x v="4"/>
    <n v="7"/>
    <x v="19"/>
  </r>
  <r>
    <x v="85"/>
    <x v="0"/>
    <x v="27"/>
    <n v="54"/>
    <n v="46"/>
    <x v="0"/>
    <n v="10"/>
    <x v="38"/>
  </r>
  <r>
    <x v="86"/>
    <x v="1"/>
    <x v="43"/>
    <n v="57"/>
    <n v="58"/>
    <x v="1"/>
    <n v="8"/>
    <x v="18"/>
  </r>
  <r>
    <x v="87"/>
    <x v="1"/>
    <x v="5"/>
    <n v="57"/>
    <n v="55"/>
    <x v="3"/>
    <n v="1"/>
    <x v="31"/>
  </r>
  <r>
    <x v="88"/>
    <x v="1"/>
    <x v="44"/>
    <n v="58"/>
    <n v="60"/>
    <x v="4"/>
    <n v="4"/>
    <x v="24"/>
  </r>
  <r>
    <x v="89"/>
    <x v="1"/>
    <x v="28"/>
    <n v="58"/>
    <n v="46"/>
    <x v="0"/>
    <n v="8"/>
    <x v="11"/>
  </r>
  <r>
    <x v="90"/>
    <x v="1"/>
    <x v="38"/>
    <n v="59"/>
    <n v="55"/>
    <x v="4"/>
    <n v="5"/>
    <x v="32"/>
  </r>
  <r>
    <x v="91"/>
    <x v="0"/>
    <x v="22"/>
    <n v="59"/>
    <n v="41"/>
    <x v="1"/>
    <n v="2"/>
    <x v="32"/>
  </r>
  <r>
    <x v="92"/>
    <x v="0"/>
    <x v="27"/>
    <n v="60"/>
    <n v="49"/>
    <x v="0"/>
    <n v="2"/>
    <x v="39"/>
  </r>
  <r>
    <x v="93"/>
    <x v="1"/>
    <x v="19"/>
    <n v="60"/>
    <n v="40"/>
    <x v="2"/>
    <n v="5"/>
    <x v="7"/>
  </r>
  <r>
    <x v="94"/>
    <x v="1"/>
    <x v="39"/>
    <n v="60"/>
    <n v="42"/>
    <x v="0"/>
    <n v="7"/>
    <x v="23"/>
  </r>
  <r>
    <x v="95"/>
    <x v="0"/>
    <x v="11"/>
    <n v="60"/>
    <n v="52"/>
    <x v="1"/>
    <n v="5"/>
    <x v="10"/>
  </r>
  <r>
    <x v="96"/>
    <x v="1"/>
    <x v="32"/>
    <n v="60"/>
    <n v="47"/>
    <x v="6"/>
    <n v="6"/>
    <x v="17"/>
  </r>
  <r>
    <x v="97"/>
    <x v="1"/>
    <x v="29"/>
    <n v="60"/>
    <n v="50"/>
    <x v="1"/>
    <n v="10"/>
    <x v="15"/>
  </r>
  <r>
    <x v="98"/>
    <x v="0"/>
    <x v="27"/>
    <n v="61"/>
    <n v="42"/>
    <x v="3"/>
    <n v="8"/>
    <x v="36"/>
  </r>
  <r>
    <x v="99"/>
    <x v="0"/>
    <x v="2"/>
    <n v="61"/>
    <n v="49"/>
    <x v="5"/>
    <n v="6"/>
    <x v="21"/>
  </r>
  <r>
    <x v="100"/>
    <x v="1"/>
    <x v="3"/>
    <n v="62"/>
    <n v="41"/>
    <x v="6"/>
    <n v="10"/>
    <x v="6"/>
  </r>
  <r>
    <x v="101"/>
    <x v="1"/>
    <x v="23"/>
    <n v="62"/>
    <n v="48"/>
    <x v="4"/>
    <n v="5"/>
    <x v="13"/>
  </r>
  <r>
    <x v="102"/>
    <x v="0"/>
    <x v="9"/>
    <n v="62"/>
    <n v="59"/>
    <x v="2"/>
    <n v="6"/>
    <x v="3"/>
  </r>
  <r>
    <x v="103"/>
    <x v="0"/>
    <x v="40"/>
    <n v="62"/>
    <n v="55"/>
    <x v="2"/>
    <n v="7"/>
    <x v="40"/>
  </r>
  <r>
    <x v="104"/>
    <x v="0"/>
    <x v="23"/>
    <n v="62"/>
    <n v="56"/>
    <x v="1"/>
    <n v="3"/>
    <x v="39"/>
  </r>
  <r>
    <x v="105"/>
    <x v="1"/>
    <x v="1"/>
    <n v="62"/>
    <n v="42"/>
    <x v="4"/>
    <n v="7"/>
    <x v="20"/>
  </r>
  <r>
    <x v="106"/>
    <x v="1"/>
    <x v="45"/>
    <n v="63"/>
    <n v="50"/>
    <x v="3"/>
    <n v="4"/>
    <x v="22"/>
  </r>
  <r>
    <x v="107"/>
    <x v="0"/>
    <x v="16"/>
    <n v="63"/>
    <n v="46"/>
    <x v="5"/>
    <n v="8"/>
    <x v="3"/>
  </r>
  <r>
    <x v="108"/>
    <x v="0"/>
    <x v="38"/>
    <n v="63"/>
    <n v="43"/>
    <x v="2"/>
    <n v="2"/>
    <x v="4"/>
  </r>
  <r>
    <x v="109"/>
    <x v="0"/>
    <x v="45"/>
    <n v="63"/>
    <n v="48"/>
    <x v="0"/>
    <n v="1"/>
    <x v="29"/>
  </r>
  <r>
    <x v="110"/>
    <x v="0"/>
    <x v="26"/>
    <n v="63"/>
    <n v="52"/>
    <x v="3"/>
    <n v="6"/>
    <x v="17"/>
  </r>
  <r>
    <x v="111"/>
    <x v="1"/>
    <x v="0"/>
    <n v="63"/>
    <n v="54"/>
    <x v="6"/>
    <n v="10"/>
    <x v="15"/>
  </r>
  <r>
    <x v="112"/>
    <x v="1"/>
    <x v="42"/>
    <n v="64"/>
    <n v="42"/>
    <x v="0"/>
    <n v="5"/>
    <x v="11"/>
  </r>
  <r>
    <x v="113"/>
    <x v="0"/>
    <x v="0"/>
    <n v="64"/>
    <n v="46"/>
    <x v="4"/>
    <n v="3"/>
    <x v="26"/>
  </r>
  <r>
    <x v="114"/>
    <x v="1"/>
    <x v="22"/>
    <n v="65"/>
    <n v="48"/>
    <x v="1"/>
    <n v="3"/>
    <x v="1"/>
  </r>
  <r>
    <x v="115"/>
    <x v="1"/>
    <x v="0"/>
    <n v="65"/>
    <n v="50"/>
    <x v="4"/>
    <n v="1"/>
    <x v="2"/>
  </r>
  <r>
    <x v="116"/>
    <x v="1"/>
    <x v="36"/>
    <n v="65"/>
    <n v="43"/>
    <x v="1"/>
    <n v="10"/>
    <x v="15"/>
  </r>
  <r>
    <x v="117"/>
    <x v="1"/>
    <x v="23"/>
    <n v="65"/>
    <n v="59"/>
    <x v="5"/>
    <n v="8"/>
    <x v="21"/>
  </r>
  <r>
    <x v="118"/>
    <x v="1"/>
    <x v="33"/>
    <n v="67"/>
    <n v="43"/>
    <x v="4"/>
    <n v="2"/>
    <x v="26"/>
  </r>
  <r>
    <x v="119"/>
    <x v="1"/>
    <x v="28"/>
    <n v="67"/>
    <n v="57"/>
    <x v="1"/>
    <n v="10"/>
    <x v="30"/>
  </r>
  <r>
    <x v="120"/>
    <x v="0"/>
    <x v="29"/>
    <n v="67"/>
    <n v="56"/>
    <x v="4"/>
    <n v="1"/>
    <x v="36"/>
  </r>
  <r>
    <x v="121"/>
    <x v="1"/>
    <x v="42"/>
    <n v="67"/>
    <n v="40"/>
    <x v="0"/>
    <n v="1"/>
    <x v="4"/>
  </r>
  <r>
    <x v="122"/>
    <x v="1"/>
    <x v="19"/>
    <n v="69"/>
    <n v="58"/>
    <x v="1"/>
    <n v="2"/>
    <x v="6"/>
  </r>
  <r>
    <x v="123"/>
    <x v="0"/>
    <x v="46"/>
    <n v="69"/>
    <n v="91"/>
    <x v="0"/>
    <n v="1"/>
    <x v="30"/>
  </r>
  <r>
    <x v="75"/>
    <x v="1"/>
    <x v="3"/>
    <n v="70"/>
    <n v="29"/>
    <x v="0"/>
    <n v="9"/>
    <x v="15"/>
  </r>
  <r>
    <x v="124"/>
    <x v="1"/>
    <x v="4"/>
    <n v="70"/>
    <n v="77"/>
    <x v="5"/>
    <n v="1"/>
    <x v="16"/>
  </r>
  <r>
    <x v="125"/>
    <x v="0"/>
    <x v="37"/>
    <n v="71"/>
    <n v="35"/>
    <x v="0"/>
    <n v="3"/>
    <x v="3"/>
  </r>
  <r>
    <x v="126"/>
    <x v="0"/>
    <x v="19"/>
    <n v="71"/>
    <n v="95"/>
    <x v="3"/>
    <n v="4"/>
    <x v="18"/>
  </r>
  <r>
    <x v="127"/>
    <x v="0"/>
    <x v="31"/>
    <n v="71"/>
    <n v="11"/>
    <x v="2"/>
    <n v="1"/>
    <x v="29"/>
  </r>
  <r>
    <x v="128"/>
    <x v="0"/>
    <x v="42"/>
    <n v="71"/>
    <n v="75"/>
    <x v="4"/>
    <n v="5"/>
    <x v="39"/>
  </r>
  <r>
    <x v="59"/>
    <x v="0"/>
    <x v="32"/>
    <n v="71"/>
    <n v="9"/>
    <x v="5"/>
    <n v="1"/>
    <x v="6"/>
  </r>
  <r>
    <x v="129"/>
    <x v="0"/>
    <x v="46"/>
    <n v="71"/>
    <n v="75"/>
    <x v="2"/>
    <n v="2"/>
    <x v="2"/>
  </r>
  <r>
    <x v="130"/>
    <x v="1"/>
    <x v="14"/>
    <n v="72"/>
    <n v="34"/>
    <x v="3"/>
    <n v="10"/>
    <x v="11"/>
  </r>
  <r>
    <x v="131"/>
    <x v="1"/>
    <x v="4"/>
    <n v="72"/>
    <n v="71"/>
    <x v="5"/>
    <n v="2"/>
    <x v="9"/>
  </r>
  <r>
    <x v="104"/>
    <x v="0"/>
    <x v="2"/>
    <n v="73"/>
    <n v="5"/>
    <x v="3"/>
    <n v="10"/>
    <x v="34"/>
  </r>
  <r>
    <x v="132"/>
    <x v="1"/>
    <x v="17"/>
    <n v="73"/>
    <n v="88"/>
    <x v="3"/>
    <n v="6"/>
    <x v="27"/>
  </r>
  <r>
    <x v="133"/>
    <x v="1"/>
    <x v="47"/>
    <n v="73"/>
    <n v="7"/>
    <x v="6"/>
    <n v="5"/>
    <x v="14"/>
  </r>
  <r>
    <x v="134"/>
    <x v="0"/>
    <x v="39"/>
    <n v="73"/>
    <n v="73"/>
    <x v="4"/>
    <n v="3"/>
    <x v="28"/>
  </r>
  <r>
    <x v="135"/>
    <x v="0"/>
    <x v="0"/>
    <n v="74"/>
    <n v="10"/>
    <x v="4"/>
    <n v="6"/>
    <x v="35"/>
  </r>
  <r>
    <x v="136"/>
    <x v="1"/>
    <x v="6"/>
    <n v="74"/>
    <n v="72"/>
    <x v="5"/>
    <n v="8"/>
    <x v="35"/>
  </r>
  <r>
    <x v="137"/>
    <x v="1"/>
    <x v="41"/>
    <n v="75"/>
    <n v="5"/>
    <x v="5"/>
    <n v="6"/>
    <x v="15"/>
  </r>
  <r>
    <x v="138"/>
    <x v="0"/>
    <x v="39"/>
    <n v="75"/>
    <n v="93"/>
    <x v="2"/>
    <n v="9"/>
    <x v="36"/>
  </r>
  <r>
    <x v="139"/>
    <x v="1"/>
    <x v="48"/>
    <n v="76"/>
    <n v="40"/>
    <x v="5"/>
    <n v="3"/>
    <x v="13"/>
  </r>
  <r>
    <x v="140"/>
    <x v="1"/>
    <x v="39"/>
    <n v="76"/>
    <n v="87"/>
    <x v="3"/>
    <n v="4"/>
    <x v="30"/>
  </r>
  <r>
    <x v="141"/>
    <x v="0"/>
    <x v="14"/>
    <n v="77"/>
    <n v="12"/>
    <x v="6"/>
    <n v="2"/>
    <x v="34"/>
  </r>
  <r>
    <x v="142"/>
    <x v="0"/>
    <x v="48"/>
    <n v="77"/>
    <n v="97"/>
    <x v="6"/>
    <n v="6"/>
    <x v="26"/>
  </r>
  <r>
    <x v="143"/>
    <x v="0"/>
    <x v="27"/>
    <n v="77"/>
    <n v="36"/>
    <x v="1"/>
    <n v="10"/>
    <x v="25"/>
  </r>
  <r>
    <x v="144"/>
    <x v="1"/>
    <x v="39"/>
    <n v="77"/>
    <n v="74"/>
    <x v="2"/>
    <n v="2"/>
    <x v="21"/>
  </r>
  <r>
    <x v="145"/>
    <x v="1"/>
    <x v="44"/>
    <n v="78"/>
    <n v="22"/>
    <x v="1"/>
    <n v="3"/>
    <x v="8"/>
  </r>
  <r>
    <x v="146"/>
    <x v="0"/>
    <x v="44"/>
    <n v="78"/>
    <n v="90"/>
    <x v="1"/>
    <n v="2"/>
    <x v="5"/>
  </r>
  <r>
    <x v="147"/>
    <x v="0"/>
    <x v="37"/>
    <n v="78"/>
    <n v="17"/>
    <x v="0"/>
    <n v="8"/>
    <x v="7"/>
  </r>
  <r>
    <x v="148"/>
    <x v="0"/>
    <x v="46"/>
    <n v="78"/>
    <n v="88"/>
    <x v="4"/>
    <n v="8"/>
    <x v="36"/>
  </r>
  <r>
    <x v="149"/>
    <x v="1"/>
    <x v="47"/>
    <n v="78"/>
    <n v="20"/>
    <x v="5"/>
    <n v="1"/>
    <x v="22"/>
  </r>
  <r>
    <x v="150"/>
    <x v="1"/>
    <x v="42"/>
    <n v="78"/>
    <n v="76"/>
    <x v="4"/>
    <n v="10"/>
    <x v="19"/>
  </r>
  <r>
    <x v="151"/>
    <x v="1"/>
    <x v="32"/>
    <n v="78"/>
    <n v="16"/>
    <x v="2"/>
    <n v="9"/>
    <x v="17"/>
  </r>
  <r>
    <x v="152"/>
    <x v="1"/>
    <x v="29"/>
    <n v="78"/>
    <n v="89"/>
    <x v="0"/>
    <n v="7"/>
    <x v="38"/>
  </r>
  <r>
    <x v="153"/>
    <x v="0"/>
    <x v="12"/>
    <n v="78"/>
    <n v="1"/>
    <x v="2"/>
    <n v="3"/>
    <x v="1"/>
  </r>
  <r>
    <x v="154"/>
    <x v="1"/>
    <x v="8"/>
    <n v="78"/>
    <n v="78"/>
    <x v="0"/>
    <n v="5"/>
    <x v="14"/>
  </r>
  <r>
    <x v="155"/>
    <x v="0"/>
    <x v="44"/>
    <n v="78"/>
    <n v="1"/>
    <x v="6"/>
    <n v="10"/>
    <x v="37"/>
  </r>
  <r>
    <x v="156"/>
    <x v="1"/>
    <x v="8"/>
    <n v="78"/>
    <n v="73"/>
    <x v="6"/>
    <n v="6"/>
    <x v="33"/>
  </r>
  <r>
    <x v="157"/>
    <x v="1"/>
    <x v="49"/>
    <n v="79"/>
    <n v="35"/>
    <x v="4"/>
    <n v="2"/>
    <x v="5"/>
  </r>
  <r>
    <x v="158"/>
    <x v="1"/>
    <x v="17"/>
    <n v="79"/>
    <n v="83"/>
    <x v="1"/>
    <n v="10"/>
    <x v="22"/>
  </r>
  <r>
    <x v="159"/>
    <x v="0"/>
    <x v="0"/>
    <n v="81"/>
    <n v="5"/>
    <x v="4"/>
    <n v="2"/>
    <x v="10"/>
  </r>
  <r>
    <x v="160"/>
    <x v="1"/>
    <x v="4"/>
    <n v="81"/>
    <n v="93"/>
    <x v="1"/>
    <n v="10"/>
    <x v="13"/>
  </r>
  <r>
    <x v="161"/>
    <x v="0"/>
    <x v="28"/>
    <n v="85"/>
    <n v="26"/>
    <x v="6"/>
    <n v="8"/>
    <x v="18"/>
  </r>
  <r>
    <x v="162"/>
    <x v="1"/>
    <x v="25"/>
    <n v="85"/>
    <n v="75"/>
    <x v="1"/>
    <n v="6"/>
    <x v="17"/>
  </r>
  <r>
    <x v="163"/>
    <x v="0"/>
    <x v="24"/>
    <n v="86"/>
    <n v="20"/>
    <x v="4"/>
    <n v="10"/>
    <x v="14"/>
  </r>
  <r>
    <x v="164"/>
    <x v="1"/>
    <x v="30"/>
    <n v="86"/>
    <n v="95"/>
    <x v="1"/>
    <n v="6"/>
    <x v="35"/>
  </r>
  <r>
    <x v="165"/>
    <x v="1"/>
    <x v="25"/>
    <n v="87"/>
    <n v="27"/>
    <x v="1"/>
    <n v="8"/>
    <x v="19"/>
  </r>
  <r>
    <x v="166"/>
    <x v="0"/>
    <x v="39"/>
    <n v="87"/>
    <n v="63"/>
    <x v="3"/>
    <n v="8"/>
    <x v="37"/>
  </r>
  <r>
    <x v="167"/>
    <x v="0"/>
    <x v="19"/>
    <n v="87"/>
    <n v="13"/>
    <x v="5"/>
    <n v="1"/>
    <x v="9"/>
  </r>
  <r>
    <x v="116"/>
    <x v="0"/>
    <x v="48"/>
    <n v="87"/>
    <n v="75"/>
    <x v="3"/>
    <n v="6"/>
    <x v="39"/>
  </r>
  <r>
    <x v="168"/>
    <x v="0"/>
    <x v="25"/>
    <n v="87"/>
    <n v="10"/>
    <x v="0"/>
    <n v="7"/>
    <x v="23"/>
  </r>
  <r>
    <x v="169"/>
    <x v="0"/>
    <x v="25"/>
    <n v="87"/>
    <n v="92"/>
    <x v="4"/>
    <n v="10"/>
    <x v="0"/>
  </r>
  <r>
    <x v="170"/>
    <x v="1"/>
    <x v="13"/>
    <n v="88"/>
    <n v="13"/>
    <x v="5"/>
    <n v="7"/>
    <x v="14"/>
  </r>
  <r>
    <x v="79"/>
    <x v="1"/>
    <x v="8"/>
    <n v="88"/>
    <n v="86"/>
    <x v="2"/>
    <n v="9"/>
    <x v="24"/>
  </r>
  <r>
    <x v="171"/>
    <x v="0"/>
    <x v="10"/>
    <n v="88"/>
    <n v="15"/>
    <x v="4"/>
    <n v="9"/>
    <x v="12"/>
  </r>
  <r>
    <x v="172"/>
    <x v="0"/>
    <x v="29"/>
    <n v="88"/>
    <n v="69"/>
    <x v="0"/>
    <n v="7"/>
    <x v="21"/>
  </r>
  <r>
    <x v="173"/>
    <x v="0"/>
    <x v="31"/>
    <n v="93"/>
    <n v="14"/>
    <x v="5"/>
    <n v="7"/>
    <x v="12"/>
  </r>
  <r>
    <x v="174"/>
    <x v="0"/>
    <x v="6"/>
    <n v="93"/>
    <n v="90"/>
    <x v="1"/>
    <n v="3"/>
    <x v="3"/>
  </r>
  <r>
    <x v="175"/>
    <x v="1"/>
    <x v="12"/>
    <n v="97"/>
    <n v="32"/>
    <x v="4"/>
    <n v="7"/>
    <x v="37"/>
  </r>
  <r>
    <x v="176"/>
    <x v="1"/>
    <x v="39"/>
    <n v="97"/>
    <n v="86"/>
    <x v="5"/>
    <n v="1"/>
    <x v="28"/>
  </r>
  <r>
    <x v="177"/>
    <x v="0"/>
    <x v="15"/>
    <n v="98"/>
    <n v="15"/>
    <x v="1"/>
    <n v="1"/>
    <x v="17"/>
  </r>
  <r>
    <x v="178"/>
    <x v="1"/>
    <x v="17"/>
    <n v="98"/>
    <n v="88"/>
    <x v="1"/>
    <n v="7"/>
    <x v="17"/>
  </r>
  <r>
    <x v="179"/>
    <x v="1"/>
    <x v="50"/>
    <n v="99"/>
    <n v="39"/>
    <x v="3"/>
    <n v="8"/>
    <x v="38"/>
  </r>
  <r>
    <x v="58"/>
    <x v="0"/>
    <x v="8"/>
    <n v="99"/>
    <n v="97"/>
    <x v="2"/>
    <n v="1"/>
    <x v="37"/>
  </r>
  <r>
    <x v="180"/>
    <x v="1"/>
    <x v="16"/>
    <n v="101"/>
    <n v="24"/>
    <x v="4"/>
    <n v="7"/>
    <x v="41"/>
  </r>
  <r>
    <x v="181"/>
    <x v="0"/>
    <x v="48"/>
    <n v="101"/>
    <n v="68"/>
    <x v="5"/>
    <n v="2"/>
    <x v="2"/>
  </r>
  <r>
    <x v="182"/>
    <x v="1"/>
    <x v="50"/>
    <n v="103"/>
    <n v="17"/>
    <x v="6"/>
    <n v="8"/>
    <x v="10"/>
  </r>
  <r>
    <x v="110"/>
    <x v="1"/>
    <x v="25"/>
    <n v="103"/>
    <n v="85"/>
    <x v="3"/>
    <n v="6"/>
    <x v="19"/>
  </r>
  <r>
    <x v="183"/>
    <x v="1"/>
    <x v="44"/>
    <n v="103"/>
    <n v="23"/>
    <x v="1"/>
    <n v="3"/>
    <x v="32"/>
  </r>
  <r>
    <x v="184"/>
    <x v="1"/>
    <x v="39"/>
    <n v="103"/>
    <n v="69"/>
    <x v="1"/>
    <n v="3"/>
    <x v="21"/>
  </r>
  <r>
    <x v="185"/>
    <x v="0"/>
    <x v="30"/>
    <n v="113"/>
    <n v="8"/>
    <x v="0"/>
    <n v="2"/>
    <x v="41"/>
  </r>
  <r>
    <x v="186"/>
    <x v="1"/>
    <x v="42"/>
    <n v="113"/>
    <n v="91"/>
    <x v="5"/>
    <n v="4"/>
    <x v="9"/>
  </r>
  <r>
    <x v="187"/>
    <x v="1"/>
    <x v="32"/>
    <n v="120"/>
    <n v="16"/>
    <x v="3"/>
    <n v="4"/>
    <x v="30"/>
  </r>
  <r>
    <x v="188"/>
    <x v="1"/>
    <x v="6"/>
    <n v="120"/>
    <n v="79"/>
    <x v="2"/>
    <n v="7"/>
    <x v="0"/>
  </r>
  <r>
    <x v="189"/>
    <x v="1"/>
    <x v="18"/>
    <n v="126"/>
    <n v="28"/>
    <x v="2"/>
    <n v="1"/>
    <x v="4"/>
  </r>
  <r>
    <x v="190"/>
    <x v="0"/>
    <x v="39"/>
    <n v="126"/>
    <n v="74"/>
    <x v="2"/>
    <n v="4"/>
    <x v="0"/>
  </r>
  <r>
    <x v="191"/>
    <x v="0"/>
    <x v="39"/>
    <n v="137"/>
    <n v="18"/>
    <x v="2"/>
    <n v="4"/>
    <x v="14"/>
  </r>
  <r>
    <x v="192"/>
    <x v="0"/>
    <x v="8"/>
    <n v="137"/>
    <n v="83"/>
    <x v="2"/>
    <n v="2"/>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A6815-4E3A-40EB-AC20-2904210DEB99}"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5:F6" firstHeaderRow="0" firstDataRow="1" firstDataCol="0"/>
  <pivotFields count="8">
    <pivotField dataField="1" showAll="0"/>
    <pivotField showAll="0">
      <items count="3">
        <item x="1"/>
        <item x="0"/>
        <item t="default"/>
      </items>
    </pivotField>
    <pivotField dataField="1"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dataField="1" showAll="0"/>
    <pivotField dataField="1" showAll="0"/>
    <pivotField showAll="0">
      <items count="8">
        <item x="4"/>
        <item x="6"/>
        <item x="3"/>
        <item x="0"/>
        <item x="1"/>
        <item x="2"/>
        <item x="5"/>
        <item t="default"/>
      </items>
    </pivotField>
    <pivotField dataField="1" showAll="0"/>
    <pivotField showAll="0">
      <items count="24">
        <item x="0"/>
        <item x="1"/>
        <item x="2"/>
        <item x="3"/>
        <item x="4"/>
        <item x="5"/>
        <item x="6"/>
        <item x="7"/>
        <item x="8"/>
        <item x="9"/>
        <item x="10"/>
        <item x="11"/>
        <item x="12"/>
        <item x="13"/>
        <item x="14"/>
        <item x="15"/>
        <item x="16"/>
        <item x="17"/>
        <item x="18"/>
        <item x="19"/>
        <item x="20"/>
        <item x="21"/>
        <item x="22"/>
        <item t="default"/>
      </items>
    </pivotField>
  </pivotFields>
  <rowItems count="1">
    <i/>
  </rowItems>
  <colFields count="1">
    <field x="-2"/>
  </colFields>
  <colItems count="5">
    <i>
      <x/>
    </i>
    <i i="1">
      <x v="1"/>
    </i>
    <i i="2">
      <x v="2"/>
    </i>
    <i i="3">
      <x v="3"/>
    </i>
    <i i="4">
      <x v="4"/>
    </i>
  </colItems>
  <dataFields count="5">
    <dataField name="Average of Age" fld="2" subtotal="average" baseField="0" baseItem="1" numFmtId="1"/>
    <dataField name="Average of Annual Income (k$)" fld="3" subtotal="average" baseField="0" baseItem="1" numFmtId="1"/>
    <dataField name="Average of Spending Score (1-100)" fld="4" subtotal="average" baseField="0" baseItem="1" numFmtId="1"/>
    <dataField name="Count of CustomerID" fld="0" subtotal="count" baseField="0" baseItem="3"/>
    <dataField name="Average of Feedback rating (1-10)" fld="6" subtotal="average" baseField="0" baseItem="3" numFmtId="164"/>
  </dataFields>
  <formats count="4">
    <format dxfId="168">
      <pivotArea outline="0" collapsedLevelsAreSubtotals="1" fieldPosition="0">
        <references count="1">
          <reference field="4294967294" count="1" selected="0">
            <x v="0"/>
          </reference>
        </references>
      </pivotArea>
    </format>
    <format dxfId="167">
      <pivotArea outline="0" collapsedLevelsAreSubtotals="1" fieldPosition="0">
        <references count="1">
          <reference field="4294967294" count="1" selected="0">
            <x v="4"/>
          </reference>
        </references>
      </pivotArea>
    </format>
    <format dxfId="166">
      <pivotArea outline="0" collapsedLevelsAreSubtotals="1" fieldPosition="0">
        <references count="1">
          <reference field="4294967294" count="1" selected="0">
            <x v="1"/>
          </reference>
        </references>
      </pivotArea>
    </format>
    <format dxfId="8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2F451-32A2-4CE7-BD81-956034CDF1CE}"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8">
  <location ref="A3:B6" firstHeaderRow="1" firstDataRow="1" firstDataCol="1"/>
  <pivotFields count="8">
    <pivotField showAll="0"/>
    <pivotField axis="axisRow"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showAll="0"/>
    <pivotField dataField="1" showAll="0"/>
    <pivotField showAll="0">
      <items count="8">
        <item x="4"/>
        <item x="6"/>
        <item x="3"/>
        <item x="0"/>
        <item x="1"/>
        <item x="2"/>
        <item x="5"/>
        <item t="default"/>
      </items>
    </pivotField>
    <pivotField showAll="0"/>
    <pivotField showAll="0">
      <items count="24">
        <item x="0"/>
        <item x="1"/>
        <item x="2"/>
        <item x="3"/>
        <item x="4"/>
        <item x="5"/>
        <item x="6"/>
        <item x="7"/>
        <item x="8"/>
        <item x="9"/>
        <item x="10"/>
        <item x="11"/>
        <item x="12"/>
        <item x="13"/>
        <item x="14"/>
        <item x="15"/>
        <item x="16"/>
        <item x="17"/>
        <item x="18"/>
        <item x="19"/>
        <item x="20"/>
        <item x="21"/>
        <item x="22"/>
        <item t="default"/>
      </items>
    </pivotField>
  </pivotFields>
  <rowFields count="1">
    <field x="1"/>
  </rowFields>
  <rowItems count="3">
    <i>
      <x/>
    </i>
    <i>
      <x v="1"/>
    </i>
    <i t="grand">
      <x/>
    </i>
  </rowItems>
  <colItems count="1">
    <i/>
  </colItems>
  <dataFields count="1">
    <dataField name="Average of Spending Score (1-100)" fld="4" subtotal="average" baseField="1" baseItem="0"/>
  </dataFields>
  <formats count="1">
    <format dxfId="165">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 count="1" selected="0">
            <x v="0"/>
          </reference>
        </references>
      </pivotArea>
    </chartFormat>
    <chartFormat chart="26" format="4">
      <pivotArea type="data" outline="0" fieldPosition="0">
        <references count="2">
          <reference field="4294967294" count="1" selected="0">
            <x v="0"/>
          </reference>
          <reference field="1" count="1" selected="0">
            <x v="1"/>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1" count="1" selected="0">
            <x v="0"/>
          </reference>
        </references>
      </pivotArea>
    </chartFormat>
    <chartFormat chart="27" format="7">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164B6-77D5-4D8D-8C3A-10815B9D96DF}" name="PivotTable5" cacheId="0"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A3:D6" firstHeaderRow="1" firstDataRow="2" firstDataCol="1"/>
  <pivotFields count="8">
    <pivotField showAll="0"/>
    <pivotField axis="axisCol"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dataField="1" showAll="0"/>
    <pivotField dataField="1" showAll="0"/>
    <pivotField showAll="0">
      <items count="8">
        <item x="4"/>
        <item x="6"/>
        <item x="3"/>
        <item x="0"/>
        <item x="1"/>
        <item x="2"/>
        <item x="5"/>
        <item t="default"/>
      </items>
    </pivotField>
    <pivotField showAll="0"/>
    <pivotField showAll="0">
      <items count="24">
        <item x="0"/>
        <item x="1"/>
        <item x="2"/>
        <item x="3"/>
        <item x="4"/>
        <item x="5"/>
        <item x="6"/>
        <item x="7"/>
        <item x="8"/>
        <item x="9"/>
        <item x="10"/>
        <item x="11"/>
        <item x="12"/>
        <item x="13"/>
        <item x="14"/>
        <item x="15"/>
        <item x="16"/>
        <item x="17"/>
        <item x="18"/>
        <item x="19"/>
        <item x="20"/>
        <item x="21"/>
        <item x="22"/>
        <item t="default"/>
      </items>
    </pivotField>
  </pivotFields>
  <rowFields count="1">
    <field x="-2"/>
  </rowFields>
  <rowItems count="2">
    <i>
      <x/>
    </i>
    <i i="1">
      <x v="1"/>
    </i>
  </rowItems>
  <colFields count="1">
    <field x="1"/>
  </colFields>
  <colItems count="3">
    <i>
      <x/>
    </i>
    <i>
      <x v="1"/>
    </i>
    <i t="grand">
      <x/>
    </i>
  </colItems>
  <dataFields count="2">
    <dataField name="Average of Annual Income (k$)" fld="3" subtotal="average" baseField="1" baseItem="0"/>
    <dataField name="Average of Spending (k$)" fld="4" subtotal="average" baseField="1" baseItem="0"/>
  </dataFields>
  <formats count="2">
    <format dxfId="164">
      <pivotArea outline="0" collapsedLevelsAreSubtotals="1" fieldPosition="0">
        <references count="1">
          <reference field="1" count="0" selected="0"/>
        </references>
      </pivotArea>
    </format>
    <format dxfId="163">
      <pivotArea grandCol="1"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D8858-87D6-4A03-9F36-41FB272EBC0D}" name="PivotTable7" cacheId="0" dataPosition="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3:C25" firstHeaderRow="0" firstDataRow="1" firstDataCol="1"/>
  <pivotFields count="8">
    <pivotField showAll="0"/>
    <pivotField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dataField="1" showAll="0"/>
    <pivotField dataField="1" showAll="0"/>
    <pivotField showAll="0">
      <items count="8">
        <item x="4"/>
        <item x="6"/>
        <item x="3"/>
        <item x="0"/>
        <item x="1"/>
        <item x="2"/>
        <item x="5"/>
        <item t="default"/>
      </items>
    </pivotField>
    <pivotField showAll="0"/>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s>
  <rowFields count="1">
    <field x="7"/>
  </rowFields>
  <rowItems count="22">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Annual Income (k$)" fld="3" baseField="0" baseItem="0"/>
    <dataField name="Sum of Spending (k$)" fld="4" baseField="7" baseItem="1"/>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0" format="4" series="1">
      <pivotArea type="data" outline="0" fieldPosition="0">
        <references count="2">
          <reference field="4294967294" count="1" selected="0">
            <x v="0"/>
          </reference>
          <reference field="7" count="1" selected="0">
            <x v="5"/>
          </reference>
        </references>
      </pivotArea>
    </chartFormat>
    <chartFormat chart="0" format="5" series="1">
      <pivotArea type="data" outline="0" fieldPosition="0">
        <references count="2">
          <reference field="4294967294" count="1" selected="0">
            <x v="0"/>
          </reference>
          <reference field="7" count="1" selected="0">
            <x v="6"/>
          </reference>
        </references>
      </pivotArea>
    </chartFormat>
    <chartFormat chart="0" format="6" series="1">
      <pivotArea type="data" outline="0" fieldPosition="0">
        <references count="2">
          <reference field="4294967294" count="1" selected="0">
            <x v="0"/>
          </reference>
          <reference field="7" count="1" selected="0">
            <x v="7"/>
          </reference>
        </references>
      </pivotArea>
    </chartFormat>
    <chartFormat chart="0" format="7" series="1">
      <pivotArea type="data" outline="0" fieldPosition="0">
        <references count="2">
          <reference field="4294967294" count="1" selected="0">
            <x v="0"/>
          </reference>
          <reference field="7" count="1" selected="0">
            <x v="8"/>
          </reference>
        </references>
      </pivotArea>
    </chartFormat>
    <chartFormat chart="0" format="8" series="1">
      <pivotArea type="data" outline="0" fieldPosition="0">
        <references count="2">
          <reference field="4294967294" count="1" selected="0">
            <x v="0"/>
          </reference>
          <reference field="7" count="1" selected="0">
            <x v="9"/>
          </reference>
        </references>
      </pivotArea>
    </chartFormat>
    <chartFormat chart="0" format="9" series="1">
      <pivotArea type="data" outline="0" fieldPosition="0">
        <references count="2">
          <reference field="4294967294" count="1" selected="0">
            <x v="0"/>
          </reference>
          <reference field="7" count="1" selected="0">
            <x v="10"/>
          </reference>
        </references>
      </pivotArea>
    </chartFormat>
    <chartFormat chart="0" format="10" series="1">
      <pivotArea type="data" outline="0" fieldPosition="0">
        <references count="2">
          <reference field="4294967294" count="1" selected="0">
            <x v="0"/>
          </reference>
          <reference field="7" count="1" selected="0">
            <x v="11"/>
          </reference>
        </references>
      </pivotArea>
    </chartFormat>
    <chartFormat chart="0" format="11" series="1">
      <pivotArea type="data" outline="0" fieldPosition="0">
        <references count="2">
          <reference field="4294967294" count="1" selected="0">
            <x v="0"/>
          </reference>
          <reference field="7" count="1" selected="0">
            <x v="12"/>
          </reference>
        </references>
      </pivotArea>
    </chartFormat>
    <chartFormat chart="0" format="12" series="1">
      <pivotArea type="data" outline="0" fieldPosition="0">
        <references count="2">
          <reference field="4294967294" count="1" selected="0">
            <x v="0"/>
          </reference>
          <reference field="7" count="1" selected="0">
            <x v="13"/>
          </reference>
        </references>
      </pivotArea>
    </chartFormat>
    <chartFormat chart="0" format="13" series="1">
      <pivotArea type="data" outline="0" fieldPosition="0">
        <references count="2">
          <reference field="4294967294" count="1" selected="0">
            <x v="0"/>
          </reference>
          <reference field="7" count="1" selected="0">
            <x v="14"/>
          </reference>
        </references>
      </pivotArea>
    </chartFormat>
    <chartFormat chart="0" format="14" series="1">
      <pivotArea type="data" outline="0" fieldPosition="0">
        <references count="2">
          <reference field="4294967294" count="1" selected="0">
            <x v="0"/>
          </reference>
          <reference field="7" count="1" selected="0">
            <x v="15"/>
          </reference>
        </references>
      </pivotArea>
    </chartFormat>
    <chartFormat chart="0" format="15" series="1">
      <pivotArea type="data" outline="0" fieldPosition="0">
        <references count="2">
          <reference field="4294967294" count="1" selected="0">
            <x v="0"/>
          </reference>
          <reference field="7" count="1" selected="0">
            <x v="16"/>
          </reference>
        </references>
      </pivotArea>
    </chartFormat>
    <chartFormat chart="0" format="16" series="1">
      <pivotArea type="data" outline="0" fieldPosition="0">
        <references count="2">
          <reference field="4294967294" count="1" selected="0">
            <x v="0"/>
          </reference>
          <reference field="7" count="1" selected="0">
            <x v="17"/>
          </reference>
        </references>
      </pivotArea>
    </chartFormat>
    <chartFormat chart="0" format="17" series="1">
      <pivotArea type="data" outline="0" fieldPosition="0">
        <references count="2">
          <reference field="4294967294" count="1" selected="0">
            <x v="0"/>
          </reference>
          <reference field="7" count="1" selected="0">
            <x v="18"/>
          </reference>
        </references>
      </pivotArea>
    </chartFormat>
    <chartFormat chart="0" format="18" series="1">
      <pivotArea type="data" outline="0" fieldPosition="0">
        <references count="2">
          <reference field="4294967294" count="1" selected="0">
            <x v="0"/>
          </reference>
          <reference field="7" count="1" selected="0">
            <x v="19"/>
          </reference>
        </references>
      </pivotArea>
    </chartFormat>
    <chartFormat chart="0" format="19" series="1">
      <pivotArea type="data" outline="0" fieldPosition="0">
        <references count="2">
          <reference field="4294967294" count="1" selected="0">
            <x v="0"/>
          </reference>
          <reference field="7" count="1" selected="0">
            <x v="20"/>
          </reference>
        </references>
      </pivotArea>
    </chartFormat>
    <chartFormat chart="0" format="20" series="1">
      <pivotArea type="data" outline="0" fieldPosition="0">
        <references count="2">
          <reference field="4294967294" count="1" selected="0">
            <x v="0"/>
          </reference>
          <reference field="7" count="1" selected="0">
            <x v="21"/>
          </reference>
        </references>
      </pivotArea>
    </chartFormat>
    <chartFormat chart="7" format="23"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08C6EE-4990-4682-89A0-0207AD1E2DF4}"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3:D12" firstHeaderRow="1" firstDataRow="2" firstDataCol="1"/>
  <pivotFields count="8">
    <pivotField showAll="0"/>
    <pivotField axis="axisCol"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showAll="0"/>
    <pivotField dataField="1" showAll="0"/>
    <pivotField axis="axisRow" showAll="0">
      <items count="8">
        <item x="4"/>
        <item x="6"/>
        <item x="3"/>
        <item x="0"/>
        <item x="1"/>
        <item x="2"/>
        <item x="5"/>
        <item t="default"/>
      </items>
    </pivotField>
    <pivotField showAll="0"/>
    <pivotField showAll="0"/>
  </pivotFields>
  <rowFields count="1">
    <field x="5"/>
  </rowFields>
  <rowItems count="8">
    <i>
      <x/>
    </i>
    <i>
      <x v="1"/>
    </i>
    <i>
      <x v="2"/>
    </i>
    <i>
      <x v="3"/>
    </i>
    <i>
      <x v="4"/>
    </i>
    <i>
      <x v="5"/>
    </i>
    <i>
      <x v="6"/>
    </i>
    <i t="grand">
      <x/>
    </i>
  </rowItems>
  <colFields count="1">
    <field x="1"/>
  </colFields>
  <colItems count="3">
    <i>
      <x/>
    </i>
    <i>
      <x v="1"/>
    </i>
    <i t="grand">
      <x/>
    </i>
  </colItems>
  <dataFields count="1">
    <dataField name="Sum of Spending (K$)" fld="4"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50B367-F62E-407E-A1B0-7C624DEE3F1E}"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3:B11" firstHeaderRow="1" firstDataRow="1" firstDataCol="1"/>
  <pivotFields count="8">
    <pivotField dataField="1" showAll="0"/>
    <pivotField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showAll="0"/>
    <pivotField showAll="0"/>
    <pivotField axis="axisRow" showAll="0">
      <items count="8">
        <item x="4"/>
        <item x="6"/>
        <item x="3"/>
        <item x="0"/>
        <item x="1"/>
        <item x="2"/>
        <item x="5"/>
        <item t="default"/>
      </items>
    </pivotField>
    <pivotField showAll="0"/>
    <pivotField showAll="0"/>
  </pivotFields>
  <rowFields count="1">
    <field x="5"/>
  </rowFields>
  <rowItems count="8">
    <i>
      <x/>
    </i>
    <i>
      <x v="1"/>
    </i>
    <i>
      <x v="2"/>
    </i>
    <i>
      <x v="3"/>
    </i>
    <i>
      <x v="4"/>
    </i>
    <i>
      <x v="5"/>
    </i>
    <i>
      <x v="6"/>
    </i>
    <i t="grand">
      <x/>
    </i>
  </rowItems>
  <colItems count="1">
    <i/>
  </colItems>
  <dataFields count="1">
    <dataField name="Count of CustomerID" fld="0" subtotal="count" baseField="5"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DEA54A-FA6E-4EF8-9CB8-1D33419C1EB8}"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8">
  <location ref="A3:B6" firstHeaderRow="1" firstDataRow="1" firstDataCol="1"/>
  <pivotFields count="8">
    <pivotField showAll="0"/>
    <pivotField axis="axisRow" showAll="0">
      <items count="3">
        <item x="1"/>
        <item x="0"/>
        <item t="default"/>
      </items>
    </pivotField>
    <pivotField showAll="0">
      <items count="29">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t="default"/>
      </items>
    </pivotField>
    <pivotField showAll="0"/>
    <pivotField dataField="1" showAll="0"/>
    <pivotField showAll="0">
      <items count="8">
        <item x="4"/>
        <item x="6"/>
        <item x="3"/>
        <item x="0"/>
        <item x="1"/>
        <item x="2"/>
        <item x="5"/>
        <item t="default"/>
      </items>
    </pivotField>
    <pivotField showAll="0"/>
    <pivotField showAll="0">
      <items count="24">
        <item x="0"/>
        <item x="1"/>
        <item x="2"/>
        <item x="3"/>
        <item x="4"/>
        <item x="5"/>
        <item x="6"/>
        <item x="7"/>
        <item x="8"/>
        <item x="9"/>
        <item x="10"/>
        <item x="11"/>
        <item x="12"/>
        <item x="13"/>
        <item x="14"/>
        <item x="15"/>
        <item x="16"/>
        <item x="17"/>
        <item x="18"/>
        <item x="19"/>
        <item x="20"/>
        <item x="21"/>
        <item x="22"/>
        <item t="default"/>
      </items>
    </pivotField>
  </pivotFields>
  <rowFields count="1">
    <field x="1"/>
  </rowFields>
  <rowItems count="3">
    <i>
      <x/>
    </i>
    <i>
      <x v="1"/>
    </i>
    <i t="grand">
      <x/>
    </i>
  </rowItems>
  <colItems count="1">
    <i/>
  </colItems>
  <dataFields count="1">
    <dataField name="Average of Spending Score (1-100)" fld="4" subtotal="average" baseField="1" baseItem="0"/>
  </dataFields>
  <formats count="1">
    <format dxfId="162">
      <pivotArea collapsedLevelsAreSubtotals="1" fieldPosition="0">
        <references count="1">
          <reference field="1" count="0"/>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 count="1" selected="0">
            <x v="0"/>
          </reference>
        </references>
      </pivotArea>
    </chartFormat>
    <chartFormat chart="26" format="4">
      <pivotArea type="data" outline="0" fieldPosition="0">
        <references count="2">
          <reference field="4294967294" count="1" selected="0">
            <x v="0"/>
          </reference>
          <reference field="1" count="1" selected="0">
            <x v="1"/>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1" count="1" selected="0">
            <x v="0"/>
          </reference>
        </references>
      </pivotArea>
    </chartFormat>
    <chartFormat chart="27" format="7">
      <pivotArea type="data" outline="0" fieldPosition="0">
        <references count="2">
          <reference field="4294967294" count="1" selected="0">
            <x v="0"/>
          </reference>
          <reference field="1"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1" count="1" selected="0">
            <x v="0"/>
          </reference>
        </references>
      </pivotArea>
    </chartFormat>
    <chartFormat chart="38" format="10">
      <pivotArea type="data" outline="0" fieldPosition="0">
        <references count="2">
          <reference field="4294967294" count="1" selected="0">
            <x v="0"/>
          </reference>
          <reference field="1" count="1" selected="0">
            <x v="1"/>
          </reference>
        </references>
      </pivotArea>
    </chartFormat>
    <chartFormat chart="4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CB4975-00A0-4D44-88A4-5188CD933036}" sourceName="Gender">
  <pivotTables>
    <pivotTable tabId="8" name="PivotTable3"/>
    <pivotTable tabId="15" name="PivotTable9"/>
    <pivotTable tabId="13" name="PivotTable8"/>
    <pivotTable tabId="17" name="PivotTable3"/>
    <pivotTable tabId="9" name="PivotTable5"/>
    <pivotTable tabId="4" name="PivotTable1"/>
    <pivotTable tabId="11" name="PivotTable7"/>
  </pivotTables>
  <data>
    <tabular pivotCacheId="14444502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day_shopping" xr10:uid="{FA6A2D9A-CF85-407A-A606-B649C9645A9E}" sourceName="Preferred day shopping ">
  <pivotTables>
    <pivotTable tabId="9" name="PivotTable5"/>
    <pivotTable tabId="15" name="PivotTable9"/>
    <pivotTable tabId="13" name="PivotTable8"/>
    <pivotTable tabId="17" name="PivotTable3"/>
    <pivotTable tabId="8" name="PivotTable3"/>
    <pivotTable tabId="4" name="PivotTable1"/>
    <pivotTable tabId="11" name="PivotTable7"/>
  </pivotTables>
  <data>
    <tabular pivotCacheId="1444450241">
      <items count="7">
        <i x="4" s="1"/>
        <i x="6" s="1"/>
        <i x="3" s="1"/>
        <i x="0"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58CF82-2020-4AB0-8983-16A0E3B33E4B}" cache="Slicer_Gender" caption="Gender" style="Slicer Style 1" rowHeight="247650"/>
  <slicer name="Preferred day shopping " xr10:uid="{21E9B21E-2577-480C-8F75-752505DDAFDF}" cache="Slicer_Preferred_day_shopping" caption="Preferred day shopping " columnCount="2" style="Slicer Style 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4502DE-48A5-41A6-BD5B-7C3A8C4D5D85}" name="Table2" displayName="Table2" ref="A1:H201" totalsRowShown="0" headerRowDxfId="178" dataDxfId="177">
  <autoFilter ref="A1:H201" xr:uid="{C84502DE-48A5-41A6-BD5B-7C3A8C4D5D85}">
    <filterColumn colId="5">
      <filters>
        <filter val="Monday"/>
      </filters>
    </filterColumn>
  </autoFilter>
  <tableColumns count="8">
    <tableColumn id="1" xr3:uid="{7B71193D-4772-4534-935F-C9287425DA71}" name="CustomerID" dataDxfId="176"/>
    <tableColumn id="2" xr3:uid="{ACE18174-EDF2-473D-BD8F-0F656BDF3E21}" name="Gender" dataDxfId="175"/>
    <tableColumn id="3" xr3:uid="{2BDBC488-B66A-40E6-89E1-5643E149FC16}" name="Age" dataDxfId="174"/>
    <tableColumn id="4" xr3:uid="{B189EDA6-5DFA-49B9-8B53-7672788F8A29}" name="Annual Income (k$)" dataDxfId="173"/>
    <tableColumn id="5" xr3:uid="{D99FDB17-B354-4CEB-8544-7FE512708023}" name="Spending in (k$)" dataDxfId="172"/>
    <tableColumn id="6" xr3:uid="{0A7D09C9-4F5D-4725-AD92-3EBE3DF9BE21}" name="Preferred day shopping " dataDxfId="171"/>
    <tableColumn id="7" xr3:uid="{CD1A071B-8285-4203-BAF9-D20F1380730C}" name="Feedback rating (1-10)" dataDxfId="170"/>
    <tableColumn id="8" xr3:uid="{178F0E6D-8FA8-4FDC-9488-706EEC284E39}" name="Started year " dataDxfId="1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E177-A46B-43F0-B1B2-F7A5CB8A02FB}">
  <dimension ref="A1:H201"/>
  <sheetViews>
    <sheetView workbookViewId="0">
      <selection activeCell="A22" sqref="A22"/>
    </sheetView>
  </sheetViews>
  <sheetFormatPr defaultColWidth="18.296875" defaultRowHeight="13.8"/>
  <cols>
    <col min="1" max="3" width="18.296875" style="1"/>
    <col min="4" max="4" width="22.296875" style="1" customWidth="1"/>
    <col min="5" max="5" width="22.09765625" style="1" customWidth="1"/>
    <col min="6" max="6" width="24" style="1" customWidth="1"/>
    <col min="7" max="7" width="34.3984375" style="1" customWidth="1"/>
    <col min="8" max="16384" width="18.296875" style="1"/>
  </cols>
  <sheetData>
    <row r="1" spans="1:8">
      <c r="A1" s="1" t="s">
        <v>3</v>
      </c>
      <c r="B1" s="1" t="s">
        <v>4</v>
      </c>
      <c r="C1" s="1" t="s">
        <v>0</v>
      </c>
      <c r="D1" s="1" t="s">
        <v>5</v>
      </c>
      <c r="E1" s="1" t="s">
        <v>52</v>
      </c>
      <c r="F1" s="1" t="s">
        <v>11</v>
      </c>
      <c r="G1" s="1" t="s">
        <v>12</v>
      </c>
      <c r="H1" s="1" t="s">
        <v>13</v>
      </c>
    </row>
    <row r="2" spans="1:8" hidden="1">
      <c r="A2" s="1">
        <v>361</v>
      </c>
      <c r="B2" s="1" t="s">
        <v>1</v>
      </c>
      <c r="C2" s="1">
        <v>19</v>
      </c>
      <c r="D2" s="6">
        <v>15</v>
      </c>
      <c r="E2" s="1">
        <v>39</v>
      </c>
      <c r="F2" s="1" t="s">
        <v>16</v>
      </c>
      <c r="G2" s="1">
        <v>4</v>
      </c>
      <c r="H2" s="1">
        <v>2002</v>
      </c>
    </row>
    <row r="3" spans="1:8" hidden="1">
      <c r="A3" s="1">
        <v>4245</v>
      </c>
      <c r="B3" s="1" t="s">
        <v>1</v>
      </c>
      <c r="C3" s="1">
        <v>21</v>
      </c>
      <c r="D3" s="6">
        <v>15</v>
      </c>
      <c r="E3" s="1">
        <v>81</v>
      </c>
      <c r="F3" s="1" t="s">
        <v>16</v>
      </c>
      <c r="G3" s="1">
        <v>9</v>
      </c>
      <c r="H3" s="1">
        <v>1991</v>
      </c>
    </row>
    <row r="4" spans="1:8" hidden="1">
      <c r="A4" s="1">
        <v>1798</v>
      </c>
      <c r="B4" s="1" t="s">
        <v>2</v>
      </c>
      <c r="C4" s="1">
        <v>20</v>
      </c>
      <c r="D4" s="6">
        <v>16</v>
      </c>
      <c r="E4" s="1">
        <v>6</v>
      </c>
      <c r="F4" s="1" t="s">
        <v>20</v>
      </c>
      <c r="G4" s="1">
        <v>3</v>
      </c>
      <c r="H4" s="1">
        <v>2004</v>
      </c>
    </row>
    <row r="5" spans="1:8" hidden="1">
      <c r="A5" s="1">
        <v>2613</v>
      </c>
      <c r="B5" s="1" t="s">
        <v>2</v>
      </c>
      <c r="C5" s="1">
        <v>23</v>
      </c>
      <c r="D5" s="6">
        <v>16</v>
      </c>
      <c r="E5" s="1">
        <v>77</v>
      </c>
      <c r="F5" s="1" t="s">
        <v>18</v>
      </c>
      <c r="G5" s="1">
        <v>1</v>
      </c>
      <c r="H5" s="1">
        <v>1986</v>
      </c>
    </row>
    <row r="6" spans="1:8" hidden="1">
      <c r="A6" s="1">
        <v>2945</v>
      </c>
      <c r="B6" s="1" t="s">
        <v>2</v>
      </c>
      <c r="C6" s="1">
        <v>31</v>
      </c>
      <c r="D6" s="6">
        <v>17</v>
      </c>
      <c r="E6" s="1">
        <v>40</v>
      </c>
      <c r="F6" s="1" t="s">
        <v>19</v>
      </c>
      <c r="G6" s="1">
        <v>4</v>
      </c>
      <c r="H6" s="1">
        <v>1993</v>
      </c>
    </row>
    <row r="7" spans="1:8" hidden="1">
      <c r="A7" s="1">
        <v>3313</v>
      </c>
      <c r="B7" s="1" t="s">
        <v>2</v>
      </c>
      <c r="C7" s="1">
        <v>22</v>
      </c>
      <c r="D7" s="6">
        <v>17</v>
      </c>
      <c r="E7" s="1">
        <v>76</v>
      </c>
      <c r="F7" s="1" t="s">
        <v>19</v>
      </c>
      <c r="G7" s="1">
        <v>6</v>
      </c>
      <c r="H7" s="1">
        <v>1985</v>
      </c>
    </row>
    <row r="8" spans="1:8" hidden="1">
      <c r="A8" s="1">
        <v>461</v>
      </c>
      <c r="B8" s="1" t="s">
        <v>2</v>
      </c>
      <c r="C8" s="1">
        <v>35</v>
      </c>
      <c r="D8" s="6">
        <v>18</v>
      </c>
      <c r="E8" s="1">
        <v>6</v>
      </c>
      <c r="F8" s="1" t="s">
        <v>20</v>
      </c>
      <c r="G8" s="1">
        <v>10</v>
      </c>
      <c r="H8" s="1">
        <v>2011</v>
      </c>
    </row>
    <row r="9" spans="1:8" hidden="1">
      <c r="A9" s="1">
        <v>3209</v>
      </c>
      <c r="B9" s="1" t="s">
        <v>2</v>
      </c>
      <c r="C9" s="1">
        <v>23</v>
      </c>
      <c r="D9" s="6">
        <v>18</v>
      </c>
      <c r="E9" s="1">
        <v>94</v>
      </c>
      <c r="F9" s="1" t="s">
        <v>20</v>
      </c>
      <c r="G9" s="1">
        <v>5</v>
      </c>
      <c r="H9" s="1">
        <v>2020</v>
      </c>
    </row>
    <row r="10" spans="1:8" hidden="1">
      <c r="A10" s="1">
        <v>1905</v>
      </c>
      <c r="B10" s="1" t="s">
        <v>1</v>
      </c>
      <c r="C10" s="1">
        <v>64</v>
      </c>
      <c r="D10" s="6">
        <v>30</v>
      </c>
      <c r="E10" s="1">
        <v>3</v>
      </c>
      <c r="F10" s="1" t="s">
        <v>20</v>
      </c>
      <c r="G10" s="1">
        <v>5</v>
      </c>
      <c r="H10" s="1">
        <v>2021</v>
      </c>
    </row>
    <row r="11" spans="1:8" hidden="1">
      <c r="A11" s="1">
        <v>3123</v>
      </c>
      <c r="B11" s="1" t="s">
        <v>2</v>
      </c>
      <c r="C11" s="1">
        <v>30</v>
      </c>
      <c r="D11" s="6">
        <v>35</v>
      </c>
      <c r="E11" s="1">
        <v>72</v>
      </c>
      <c r="F11" s="1" t="s">
        <v>19</v>
      </c>
      <c r="G11" s="1">
        <v>2</v>
      </c>
      <c r="H11" s="1">
        <v>2024</v>
      </c>
    </row>
    <row r="12" spans="1:8">
      <c r="A12" s="1">
        <v>3818</v>
      </c>
      <c r="B12" s="1" t="s">
        <v>1</v>
      </c>
      <c r="C12" s="1">
        <v>67</v>
      </c>
      <c r="D12" s="6">
        <v>19</v>
      </c>
      <c r="E12" s="1">
        <v>14</v>
      </c>
      <c r="F12" s="1" t="s">
        <v>14</v>
      </c>
      <c r="G12" s="1">
        <v>6</v>
      </c>
      <c r="H12" s="1">
        <v>2009</v>
      </c>
    </row>
    <row r="13" spans="1:8" hidden="1">
      <c r="A13" s="1">
        <v>1413</v>
      </c>
      <c r="B13" s="1" t="s">
        <v>2</v>
      </c>
      <c r="C13" s="1">
        <v>35</v>
      </c>
      <c r="D13" s="6">
        <v>19</v>
      </c>
      <c r="E13" s="1">
        <v>99</v>
      </c>
      <c r="F13" s="1" t="s">
        <v>19</v>
      </c>
      <c r="G13" s="1">
        <v>9</v>
      </c>
      <c r="H13" s="1">
        <v>1997</v>
      </c>
    </row>
    <row r="14" spans="1:8" hidden="1">
      <c r="A14" s="1">
        <v>1687</v>
      </c>
      <c r="B14" s="1" t="s">
        <v>2</v>
      </c>
      <c r="C14" s="1">
        <v>58</v>
      </c>
      <c r="D14" s="6">
        <v>20</v>
      </c>
      <c r="E14" s="1">
        <v>15</v>
      </c>
      <c r="F14" s="1" t="s">
        <v>16</v>
      </c>
      <c r="G14" s="1">
        <v>4</v>
      </c>
      <c r="H14" s="1">
        <v>2003</v>
      </c>
    </row>
    <row r="15" spans="1:8" hidden="1">
      <c r="A15" s="1">
        <v>778</v>
      </c>
      <c r="B15" s="1" t="s">
        <v>2</v>
      </c>
      <c r="C15" s="1">
        <v>24</v>
      </c>
      <c r="D15" s="6">
        <v>20</v>
      </c>
      <c r="E15" s="1">
        <v>77</v>
      </c>
      <c r="F15" s="1" t="s">
        <v>16</v>
      </c>
      <c r="G15" s="1">
        <v>7</v>
      </c>
      <c r="H15" s="1">
        <v>2012</v>
      </c>
    </row>
    <row r="16" spans="1:8" hidden="1">
      <c r="A16" s="1">
        <v>4362</v>
      </c>
      <c r="B16" s="1" t="s">
        <v>1</v>
      </c>
      <c r="C16" s="1">
        <v>37</v>
      </c>
      <c r="D16" s="6">
        <v>20</v>
      </c>
      <c r="E16" s="1">
        <v>13</v>
      </c>
      <c r="F16" s="1" t="s">
        <v>17</v>
      </c>
      <c r="G16" s="1">
        <v>8</v>
      </c>
      <c r="H16" s="1">
        <v>2026</v>
      </c>
    </row>
    <row r="17" spans="1:8">
      <c r="A17" s="1">
        <v>2570</v>
      </c>
      <c r="B17" s="1" t="s">
        <v>1</v>
      </c>
      <c r="C17" s="1">
        <v>22</v>
      </c>
      <c r="D17" s="6">
        <v>20</v>
      </c>
      <c r="E17" s="1">
        <v>79</v>
      </c>
      <c r="F17" s="1" t="s">
        <v>14</v>
      </c>
      <c r="G17" s="1">
        <v>8</v>
      </c>
      <c r="H17" s="1">
        <v>2003</v>
      </c>
    </row>
    <row r="18" spans="1:8" hidden="1">
      <c r="A18" s="1">
        <v>1555</v>
      </c>
      <c r="B18" s="1" t="s">
        <v>2</v>
      </c>
      <c r="C18" s="1">
        <v>35</v>
      </c>
      <c r="D18" s="6">
        <v>21</v>
      </c>
      <c r="E18" s="1">
        <v>35</v>
      </c>
      <c r="F18" s="1" t="s">
        <v>18</v>
      </c>
      <c r="G18" s="1">
        <v>5</v>
      </c>
      <c r="H18" s="1">
        <v>2008</v>
      </c>
    </row>
    <row r="19" spans="1:8" hidden="1">
      <c r="A19" s="1">
        <v>3283</v>
      </c>
      <c r="B19" s="1" t="s">
        <v>1</v>
      </c>
      <c r="C19" s="1">
        <v>20</v>
      </c>
      <c r="D19" s="6">
        <v>21</v>
      </c>
      <c r="E19" s="1">
        <v>66</v>
      </c>
      <c r="F19" s="1" t="s">
        <v>17</v>
      </c>
      <c r="G19" s="1">
        <v>2</v>
      </c>
      <c r="H19" s="1">
        <v>2014</v>
      </c>
    </row>
    <row r="20" spans="1:8" hidden="1">
      <c r="A20" s="1">
        <v>2765</v>
      </c>
      <c r="B20" s="1" t="s">
        <v>1</v>
      </c>
      <c r="C20" s="1">
        <v>52</v>
      </c>
      <c r="D20" s="6">
        <v>23</v>
      </c>
      <c r="E20" s="1">
        <v>29</v>
      </c>
      <c r="F20" s="1" t="s">
        <v>19</v>
      </c>
      <c r="G20" s="1">
        <v>2</v>
      </c>
      <c r="H20" s="1">
        <v>2010</v>
      </c>
    </row>
    <row r="21" spans="1:8" hidden="1">
      <c r="A21" s="1">
        <v>1157</v>
      </c>
      <c r="B21" s="1" t="s">
        <v>2</v>
      </c>
      <c r="C21" s="1">
        <v>35</v>
      </c>
      <c r="D21" s="6">
        <v>23</v>
      </c>
      <c r="E21" s="1">
        <v>98</v>
      </c>
      <c r="F21" s="1" t="s">
        <v>15</v>
      </c>
      <c r="G21" s="1">
        <v>5</v>
      </c>
      <c r="H21" s="1">
        <v>1990</v>
      </c>
    </row>
    <row r="22" spans="1:8">
      <c r="A22" s="1">
        <v>1383</v>
      </c>
      <c r="B22" s="1" t="s">
        <v>1</v>
      </c>
      <c r="C22" s="1">
        <v>35</v>
      </c>
      <c r="D22" s="6">
        <v>24</v>
      </c>
      <c r="E22" s="1">
        <v>35</v>
      </c>
      <c r="F22" s="1" t="s">
        <v>14</v>
      </c>
      <c r="G22" s="1">
        <v>7</v>
      </c>
      <c r="H22" s="1">
        <v>1994</v>
      </c>
    </row>
    <row r="23" spans="1:8" hidden="1">
      <c r="A23" s="1">
        <v>1578</v>
      </c>
      <c r="B23" s="1" t="s">
        <v>1</v>
      </c>
      <c r="C23" s="1">
        <v>25</v>
      </c>
      <c r="D23" s="6">
        <v>24</v>
      </c>
      <c r="E23" s="1">
        <v>73</v>
      </c>
      <c r="F23" s="1" t="s">
        <v>16</v>
      </c>
      <c r="G23" s="1">
        <v>7</v>
      </c>
      <c r="H23" s="1">
        <v>2010</v>
      </c>
    </row>
    <row r="24" spans="1:8" hidden="1">
      <c r="A24" s="1">
        <v>4652</v>
      </c>
      <c r="B24" s="1" t="s">
        <v>2</v>
      </c>
      <c r="C24" s="1">
        <v>46</v>
      </c>
      <c r="D24" s="6">
        <v>25</v>
      </c>
      <c r="E24" s="1">
        <v>5</v>
      </c>
      <c r="F24" s="1" t="s">
        <v>20</v>
      </c>
      <c r="G24" s="1">
        <v>4</v>
      </c>
      <c r="H24" s="1">
        <v>2019</v>
      </c>
    </row>
    <row r="25" spans="1:8" hidden="1">
      <c r="A25" s="1">
        <v>2417</v>
      </c>
      <c r="B25" s="1" t="s">
        <v>1</v>
      </c>
      <c r="C25" s="1">
        <v>31</v>
      </c>
      <c r="D25" s="6">
        <v>25</v>
      </c>
      <c r="E25" s="1">
        <v>73</v>
      </c>
      <c r="F25" s="1" t="s">
        <v>17</v>
      </c>
      <c r="G25" s="1">
        <v>1</v>
      </c>
      <c r="H25" s="1">
        <v>2010</v>
      </c>
    </row>
    <row r="26" spans="1:8" hidden="1">
      <c r="A26" s="1">
        <v>2639</v>
      </c>
      <c r="B26" s="1" t="s">
        <v>2</v>
      </c>
      <c r="C26" s="1">
        <v>54</v>
      </c>
      <c r="D26" s="6">
        <v>28</v>
      </c>
      <c r="E26" s="1">
        <v>14</v>
      </c>
      <c r="F26" s="1" t="s">
        <v>19</v>
      </c>
      <c r="G26" s="1">
        <v>3</v>
      </c>
      <c r="H26" s="1">
        <v>2001</v>
      </c>
    </row>
    <row r="27" spans="1:8">
      <c r="A27" s="1">
        <v>2177</v>
      </c>
      <c r="B27" s="1" t="s">
        <v>1</v>
      </c>
      <c r="C27" s="1">
        <v>29</v>
      </c>
      <c r="D27" s="6">
        <v>28</v>
      </c>
      <c r="E27" s="1">
        <v>82</v>
      </c>
      <c r="F27" s="1" t="s">
        <v>14</v>
      </c>
      <c r="G27" s="1">
        <v>2</v>
      </c>
      <c r="H27" s="1">
        <v>2021</v>
      </c>
    </row>
    <row r="28" spans="1:8" hidden="1">
      <c r="A28" s="1">
        <v>4927</v>
      </c>
      <c r="B28" s="1" t="s">
        <v>2</v>
      </c>
      <c r="C28" s="1">
        <v>45</v>
      </c>
      <c r="D28" s="6">
        <v>28</v>
      </c>
      <c r="E28" s="1">
        <v>32</v>
      </c>
      <c r="F28" s="1" t="s">
        <v>16</v>
      </c>
      <c r="G28" s="1">
        <v>4</v>
      </c>
      <c r="H28" s="1">
        <v>1992</v>
      </c>
    </row>
    <row r="29" spans="1:8" hidden="1">
      <c r="A29" s="1">
        <v>1884</v>
      </c>
      <c r="B29" s="1" t="s">
        <v>1</v>
      </c>
      <c r="C29" s="1">
        <v>35</v>
      </c>
      <c r="D29" s="6">
        <v>28</v>
      </c>
      <c r="E29" s="1">
        <v>61</v>
      </c>
      <c r="F29" s="1" t="s">
        <v>19</v>
      </c>
      <c r="G29" s="1">
        <v>2</v>
      </c>
      <c r="H29" s="1">
        <v>1987</v>
      </c>
    </row>
    <row r="30" spans="1:8" hidden="1">
      <c r="A30" s="1">
        <v>100</v>
      </c>
      <c r="B30" s="1" t="s">
        <v>2</v>
      </c>
      <c r="C30" s="1">
        <v>40</v>
      </c>
      <c r="D30" s="6">
        <v>29</v>
      </c>
      <c r="E30" s="1">
        <v>31</v>
      </c>
      <c r="F30" s="1" t="s">
        <v>18</v>
      </c>
      <c r="G30" s="1">
        <v>1</v>
      </c>
      <c r="H30" s="1">
        <v>1987</v>
      </c>
    </row>
    <row r="31" spans="1:8" hidden="1">
      <c r="A31" s="1">
        <v>1867</v>
      </c>
      <c r="B31" s="1" t="s">
        <v>2</v>
      </c>
      <c r="C31" s="1">
        <v>23</v>
      </c>
      <c r="D31" s="6">
        <v>29</v>
      </c>
      <c r="E31" s="1">
        <v>87</v>
      </c>
      <c r="F31" s="1" t="s">
        <v>17</v>
      </c>
      <c r="G31" s="1">
        <v>6</v>
      </c>
      <c r="H31" s="1">
        <v>2007</v>
      </c>
    </row>
    <row r="32" spans="1:8" hidden="1">
      <c r="A32" s="1">
        <v>3610</v>
      </c>
      <c r="B32" s="1" t="s">
        <v>1</v>
      </c>
      <c r="C32" s="1">
        <v>60</v>
      </c>
      <c r="D32" s="6">
        <v>30</v>
      </c>
      <c r="E32" s="1">
        <v>4</v>
      </c>
      <c r="F32" s="1" t="s">
        <v>19</v>
      </c>
      <c r="G32" s="1">
        <v>8</v>
      </c>
      <c r="H32" s="1">
        <v>2018</v>
      </c>
    </row>
    <row r="33" spans="1:8" hidden="1">
      <c r="A33" s="1">
        <v>580</v>
      </c>
      <c r="B33" s="1" t="s">
        <v>2</v>
      </c>
      <c r="C33" s="1">
        <v>21</v>
      </c>
      <c r="D33" s="6">
        <v>30</v>
      </c>
      <c r="E33" s="1">
        <v>73</v>
      </c>
      <c r="F33" s="1" t="s">
        <v>18</v>
      </c>
      <c r="G33" s="1">
        <v>4</v>
      </c>
      <c r="H33" s="1">
        <v>2025</v>
      </c>
    </row>
    <row r="34" spans="1:8">
      <c r="A34" s="1">
        <v>1941</v>
      </c>
      <c r="B34" s="1" t="s">
        <v>1</v>
      </c>
      <c r="C34" s="1">
        <v>53</v>
      </c>
      <c r="D34" s="6">
        <v>33</v>
      </c>
      <c r="E34" s="1">
        <v>4</v>
      </c>
      <c r="F34" s="1" t="s">
        <v>14</v>
      </c>
      <c r="G34" s="1">
        <v>7</v>
      </c>
      <c r="H34" s="1">
        <v>1997</v>
      </c>
    </row>
    <row r="35" spans="1:8" hidden="1">
      <c r="A35" s="1">
        <v>1756</v>
      </c>
      <c r="B35" s="1" t="s">
        <v>1</v>
      </c>
      <c r="C35" s="1">
        <v>18</v>
      </c>
      <c r="D35" s="6">
        <v>33</v>
      </c>
      <c r="E35" s="1">
        <v>92</v>
      </c>
      <c r="F35" s="1" t="s">
        <v>17</v>
      </c>
      <c r="G35" s="1">
        <v>7</v>
      </c>
      <c r="H35" s="1">
        <v>1997</v>
      </c>
    </row>
    <row r="36" spans="1:8" hidden="1">
      <c r="A36" s="1">
        <v>601</v>
      </c>
      <c r="B36" s="1" t="s">
        <v>2</v>
      </c>
      <c r="C36" s="1">
        <v>49</v>
      </c>
      <c r="D36" s="6">
        <v>33</v>
      </c>
      <c r="E36" s="1">
        <v>14</v>
      </c>
      <c r="F36" s="1" t="s">
        <v>18</v>
      </c>
      <c r="G36" s="1">
        <v>6</v>
      </c>
      <c r="H36" s="1">
        <v>1988</v>
      </c>
    </row>
    <row r="37" spans="1:8" hidden="1">
      <c r="A37" s="1">
        <v>3935</v>
      </c>
      <c r="B37" s="1" t="s">
        <v>2</v>
      </c>
      <c r="C37" s="1">
        <v>21</v>
      </c>
      <c r="D37" s="6">
        <v>33</v>
      </c>
      <c r="E37" s="1">
        <v>81</v>
      </c>
      <c r="F37" s="1" t="s">
        <v>16</v>
      </c>
      <c r="G37" s="1">
        <v>6</v>
      </c>
      <c r="H37" s="1">
        <v>1998</v>
      </c>
    </row>
    <row r="38" spans="1:8" hidden="1">
      <c r="A38" s="1">
        <v>3421</v>
      </c>
      <c r="B38" s="1" t="s">
        <v>2</v>
      </c>
      <c r="C38" s="1">
        <v>42</v>
      </c>
      <c r="D38" s="6">
        <v>34</v>
      </c>
      <c r="E38" s="1">
        <v>17</v>
      </c>
      <c r="F38" s="1" t="s">
        <v>15</v>
      </c>
      <c r="G38" s="1">
        <v>8</v>
      </c>
      <c r="H38" s="1">
        <v>2026</v>
      </c>
    </row>
    <row r="39" spans="1:8" hidden="1">
      <c r="A39" s="1">
        <v>613</v>
      </c>
      <c r="B39" s="1" t="s">
        <v>2</v>
      </c>
      <c r="C39" s="1">
        <v>30</v>
      </c>
      <c r="D39" s="6">
        <v>34</v>
      </c>
      <c r="E39" s="1">
        <v>73</v>
      </c>
      <c r="F39" s="1" t="s">
        <v>18</v>
      </c>
      <c r="G39" s="1">
        <v>5</v>
      </c>
      <c r="H39" s="1">
        <v>1987</v>
      </c>
    </row>
    <row r="40" spans="1:8" hidden="1">
      <c r="A40" s="1">
        <v>842</v>
      </c>
      <c r="B40" s="1" t="s">
        <v>2</v>
      </c>
      <c r="C40" s="1">
        <v>36</v>
      </c>
      <c r="D40" s="6">
        <v>37</v>
      </c>
      <c r="E40" s="1">
        <v>26</v>
      </c>
      <c r="F40" s="1" t="s">
        <v>20</v>
      </c>
      <c r="G40" s="1">
        <v>9</v>
      </c>
      <c r="H40" s="1">
        <v>2001</v>
      </c>
    </row>
    <row r="41" spans="1:8" hidden="1">
      <c r="A41" s="1">
        <v>384</v>
      </c>
      <c r="B41" s="1" t="s">
        <v>2</v>
      </c>
      <c r="C41" s="1">
        <v>20</v>
      </c>
      <c r="D41" s="6">
        <v>37</v>
      </c>
      <c r="E41" s="1">
        <v>75</v>
      </c>
      <c r="F41" s="1" t="s">
        <v>17</v>
      </c>
      <c r="G41" s="1">
        <v>5</v>
      </c>
      <c r="H41" s="1">
        <v>1997</v>
      </c>
    </row>
    <row r="42" spans="1:8" hidden="1">
      <c r="A42" s="1">
        <v>2367</v>
      </c>
      <c r="B42" s="1" t="s">
        <v>2</v>
      </c>
      <c r="C42" s="1">
        <v>65</v>
      </c>
      <c r="D42" s="6">
        <v>38</v>
      </c>
      <c r="E42" s="1">
        <v>35</v>
      </c>
      <c r="F42" s="1" t="s">
        <v>15</v>
      </c>
      <c r="G42" s="1">
        <v>8</v>
      </c>
      <c r="H42" s="1">
        <v>1998</v>
      </c>
    </row>
    <row r="43" spans="1:8" hidden="1">
      <c r="A43" s="1">
        <v>1772</v>
      </c>
      <c r="B43" s="1" t="s">
        <v>1</v>
      </c>
      <c r="C43" s="1">
        <v>24</v>
      </c>
      <c r="D43" s="6">
        <v>38</v>
      </c>
      <c r="E43" s="1">
        <v>92</v>
      </c>
      <c r="F43" s="1" t="s">
        <v>17</v>
      </c>
      <c r="G43" s="1">
        <v>5</v>
      </c>
      <c r="H43" s="1">
        <v>2009</v>
      </c>
    </row>
    <row r="44" spans="1:8" hidden="1">
      <c r="A44" s="1">
        <v>1877</v>
      </c>
      <c r="B44" s="1" t="s">
        <v>1</v>
      </c>
      <c r="C44" s="1">
        <v>48</v>
      </c>
      <c r="D44" s="6">
        <v>39</v>
      </c>
      <c r="E44" s="1">
        <v>36</v>
      </c>
      <c r="F44" s="1" t="s">
        <v>19</v>
      </c>
      <c r="G44" s="1">
        <v>5</v>
      </c>
      <c r="H44" s="1">
        <v>2010</v>
      </c>
    </row>
    <row r="45" spans="1:8" hidden="1">
      <c r="A45" s="1">
        <v>4651</v>
      </c>
      <c r="B45" s="1" t="s">
        <v>2</v>
      </c>
      <c r="C45" s="1">
        <v>31</v>
      </c>
      <c r="D45" s="6">
        <v>39</v>
      </c>
      <c r="E45" s="1">
        <v>61</v>
      </c>
      <c r="F45" s="1" t="s">
        <v>18</v>
      </c>
      <c r="G45" s="1">
        <v>2</v>
      </c>
      <c r="H45" s="1">
        <v>2012</v>
      </c>
    </row>
    <row r="46" spans="1:8" hidden="1">
      <c r="A46" s="1">
        <v>1734</v>
      </c>
      <c r="B46" s="1" t="s">
        <v>2</v>
      </c>
      <c r="C46" s="1">
        <v>49</v>
      </c>
      <c r="D46" s="6">
        <v>39</v>
      </c>
      <c r="E46" s="1">
        <v>28</v>
      </c>
      <c r="F46" s="1" t="s">
        <v>19</v>
      </c>
      <c r="G46" s="1">
        <v>1</v>
      </c>
      <c r="H46" s="1">
        <v>2012</v>
      </c>
    </row>
    <row r="47" spans="1:8" hidden="1">
      <c r="A47" s="1">
        <v>1685</v>
      </c>
      <c r="B47" s="1" t="s">
        <v>2</v>
      </c>
      <c r="C47" s="1">
        <v>24</v>
      </c>
      <c r="D47" s="6">
        <v>39</v>
      </c>
      <c r="E47" s="1">
        <v>65</v>
      </c>
      <c r="F47" s="1" t="s">
        <v>19</v>
      </c>
      <c r="G47" s="1">
        <v>6</v>
      </c>
      <c r="H47" s="1">
        <v>1994</v>
      </c>
    </row>
    <row r="48" spans="1:8" hidden="1">
      <c r="A48" s="1">
        <v>1850</v>
      </c>
      <c r="B48" s="1" t="s">
        <v>2</v>
      </c>
      <c r="C48" s="1">
        <v>50</v>
      </c>
      <c r="D48" s="6">
        <v>40</v>
      </c>
      <c r="E48" s="1">
        <v>55</v>
      </c>
      <c r="F48" s="1" t="s">
        <v>20</v>
      </c>
      <c r="G48" s="1">
        <v>9</v>
      </c>
      <c r="H48" s="1">
        <v>2023</v>
      </c>
    </row>
    <row r="49" spans="1:8">
      <c r="A49" s="1">
        <v>4259</v>
      </c>
      <c r="B49" s="1" t="s">
        <v>2</v>
      </c>
      <c r="C49" s="1">
        <v>27</v>
      </c>
      <c r="D49" s="6">
        <v>40</v>
      </c>
      <c r="E49" s="1">
        <v>47</v>
      </c>
      <c r="F49" s="1" t="s">
        <v>14</v>
      </c>
      <c r="G49" s="1">
        <v>5</v>
      </c>
      <c r="H49" s="1">
        <v>2001</v>
      </c>
    </row>
    <row r="50" spans="1:8" hidden="1">
      <c r="A50" s="1">
        <v>2260</v>
      </c>
      <c r="B50" s="1" t="s">
        <v>2</v>
      </c>
      <c r="C50" s="1">
        <v>29</v>
      </c>
      <c r="D50" s="6">
        <v>40</v>
      </c>
      <c r="E50" s="1">
        <v>42</v>
      </c>
      <c r="F50" s="1" t="s">
        <v>18</v>
      </c>
      <c r="G50" s="1">
        <v>4</v>
      </c>
      <c r="H50" s="1">
        <v>1989</v>
      </c>
    </row>
    <row r="51" spans="1:8" hidden="1">
      <c r="A51" s="1">
        <v>2813</v>
      </c>
      <c r="B51" s="1" t="s">
        <v>2</v>
      </c>
      <c r="C51" s="1">
        <v>31</v>
      </c>
      <c r="D51" s="6">
        <v>40</v>
      </c>
      <c r="E51" s="1">
        <v>42</v>
      </c>
      <c r="F51" s="1" t="s">
        <v>16</v>
      </c>
      <c r="G51" s="1">
        <v>4</v>
      </c>
      <c r="H51" s="1">
        <v>2012</v>
      </c>
    </row>
    <row r="52" spans="1:8" hidden="1">
      <c r="A52" s="1">
        <v>2956</v>
      </c>
      <c r="B52" s="1" t="s">
        <v>2</v>
      </c>
      <c r="C52" s="1">
        <v>49</v>
      </c>
      <c r="D52" s="6">
        <v>42</v>
      </c>
      <c r="E52" s="1">
        <v>52</v>
      </c>
      <c r="F52" s="1" t="s">
        <v>20</v>
      </c>
      <c r="G52" s="1">
        <v>10</v>
      </c>
      <c r="H52" s="1">
        <v>2022</v>
      </c>
    </row>
    <row r="53" spans="1:8" hidden="1">
      <c r="A53" s="1">
        <v>3253</v>
      </c>
      <c r="B53" s="1" t="s">
        <v>1</v>
      </c>
      <c r="C53" s="1">
        <v>33</v>
      </c>
      <c r="D53" s="6">
        <v>42</v>
      </c>
      <c r="E53" s="1">
        <v>60</v>
      </c>
      <c r="F53" s="1" t="s">
        <v>15</v>
      </c>
      <c r="G53" s="1">
        <v>1</v>
      </c>
      <c r="H53" s="1">
        <v>2025</v>
      </c>
    </row>
    <row r="54" spans="1:8" hidden="1">
      <c r="A54" s="1">
        <v>423</v>
      </c>
      <c r="B54" s="1" t="s">
        <v>2</v>
      </c>
      <c r="C54" s="1">
        <v>31</v>
      </c>
      <c r="D54" s="6">
        <v>43</v>
      </c>
      <c r="E54" s="1">
        <v>54</v>
      </c>
      <c r="F54" s="1" t="s">
        <v>17</v>
      </c>
      <c r="G54" s="1">
        <v>2</v>
      </c>
      <c r="H54" s="1">
        <v>2021</v>
      </c>
    </row>
    <row r="55" spans="1:8">
      <c r="A55" s="1">
        <v>406</v>
      </c>
      <c r="B55" s="1" t="s">
        <v>1</v>
      </c>
      <c r="C55" s="1">
        <v>59</v>
      </c>
      <c r="D55" s="6">
        <v>43</v>
      </c>
      <c r="E55" s="1">
        <v>60</v>
      </c>
      <c r="F55" s="1" t="s">
        <v>14</v>
      </c>
      <c r="G55" s="1">
        <v>2</v>
      </c>
      <c r="H55" s="1">
        <v>1990</v>
      </c>
    </row>
    <row r="56" spans="1:8" hidden="1">
      <c r="A56" s="1">
        <v>1656</v>
      </c>
      <c r="B56" s="1" t="s">
        <v>2</v>
      </c>
      <c r="C56" s="1">
        <v>50</v>
      </c>
      <c r="D56" s="6">
        <v>43</v>
      </c>
      <c r="E56" s="1">
        <v>45</v>
      </c>
      <c r="F56" s="1" t="s">
        <v>19</v>
      </c>
      <c r="G56" s="1">
        <v>10</v>
      </c>
      <c r="H56" s="1">
        <v>2007</v>
      </c>
    </row>
    <row r="57" spans="1:8" hidden="1">
      <c r="A57" s="1">
        <v>2218</v>
      </c>
      <c r="B57" s="1" t="s">
        <v>1</v>
      </c>
      <c r="C57" s="1">
        <v>47</v>
      </c>
      <c r="D57" s="6">
        <v>43</v>
      </c>
      <c r="E57" s="1">
        <v>41</v>
      </c>
      <c r="F57" s="1" t="s">
        <v>15</v>
      </c>
      <c r="G57" s="1">
        <v>9</v>
      </c>
      <c r="H57" s="1">
        <v>2017</v>
      </c>
    </row>
    <row r="58" spans="1:8" hidden="1">
      <c r="A58" s="1">
        <v>3148</v>
      </c>
      <c r="B58" s="1" t="s">
        <v>2</v>
      </c>
      <c r="C58" s="1">
        <v>51</v>
      </c>
      <c r="D58" s="6">
        <v>44</v>
      </c>
      <c r="E58" s="1">
        <v>50</v>
      </c>
      <c r="F58" s="1" t="s">
        <v>18</v>
      </c>
      <c r="G58" s="1">
        <v>8</v>
      </c>
      <c r="H58" s="1">
        <v>1996</v>
      </c>
    </row>
    <row r="59" spans="1:8" hidden="1">
      <c r="A59" s="1">
        <v>3808</v>
      </c>
      <c r="B59" s="1" t="s">
        <v>1</v>
      </c>
      <c r="C59" s="1">
        <v>69</v>
      </c>
      <c r="D59" s="6">
        <v>44</v>
      </c>
      <c r="E59" s="1">
        <v>46</v>
      </c>
      <c r="F59" s="1" t="s">
        <v>17</v>
      </c>
      <c r="G59" s="1">
        <v>3</v>
      </c>
      <c r="H59" s="1">
        <v>1992</v>
      </c>
    </row>
    <row r="60" spans="1:8" hidden="1">
      <c r="A60" s="1">
        <v>4379</v>
      </c>
      <c r="B60" s="1" t="s">
        <v>2</v>
      </c>
      <c r="C60" s="1">
        <v>27</v>
      </c>
      <c r="D60" s="6">
        <v>46</v>
      </c>
      <c r="E60" s="1">
        <v>51</v>
      </c>
      <c r="F60" s="1" t="s">
        <v>19</v>
      </c>
      <c r="G60" s="1">
        <v>10</v>
      </c>
      <c r="H60" s="1">
        <v>2011</v>
      </c>
    </row>
    <row r="61" spans="1:8" hidden="1">
      <c r="A61" s="1">
        <v>269</v>
      </c>
      <c r="B61" s="1" t="s">
        <v>1</v>
      </c>
      <c r="C61" s="1">
        <v>53</v>
      </c>
      <c r="D61" s="6">
        <v>46</v>
      </c>
      <c r="E61" s="1">
        <v>46</v>
      </c>
      <c r="F61" s="1" t="s">
        <v>16</v>
      </c>
      <c r="G61" s="1">
        <v>7</v>
      </c>
      <c r="H61" s="1">
        <v>1986</v>
      </c>
    </row>
    <row r="62" spans="1:8" hidden="1">
      <c r="A62" s="1">
        <v>2607</v>
      </c>
      <c r="B62" s="1" t="s">
        <v>1</v>
      </c>
      <c r="C62" s="1">
        <v>70</v>
      </c>
      <c r="D62" s="6">
        <v>46</v>
      </c>
      <c r="E62" s="1">
        <v>56</v>
      </c>
      <c r="F62" s="1" t="s">
        <v>18</v>
      </c>
      <c r="G62" s="1">
        <v>9</v>
      </c>
      <c r="H62" s="1">
        <v>2014</v>
      </c>
    </row>
    <row r="63" spans="1:8" hidden="1">
      <c r="A63" s="1">
        <v>2963</v>
      </c>
      <c r="B63" s="1" t="s">
        <v>1</v>
      </c>
      <c r="C63" s="1">
        <v>19</v>
      </c>
      <c r="D63" s="6">
        <v>46</v>
      </c>
      <c r="E63" s="1">
        <v>55</v>
      </c>
      <c r="F63" s="1" t="s">
        <v>17</v>
      </c>
      <c r="G63" s="1">
        <v>1</v>
      </c>
      <c r="H63" s="1">
        <v>2003</v>
      </c>
    </row>
    <row r="64" spans="1:8" hidden="1">
      <c r="A64" s="1">
        <v>3298</v>
      </c>
      <c r="B64" s="1" t="s">
        <v>2</v>
      </c>
      <c r="C64" s="1">
        <v>67</v>
      </c>
      <c r="D64" s="6">
        <v>47</v>
      </c>
      <c r="E64" s="1">
        <v>52</v>
      </c>
      <c r="F64" s="1" t="s">
        <v>17</v>
      </c>
      <c r="G64" s="1">
        <v>10</v>
      </c>
      <c r="H64" s="1">
        <v>2015</v>
      </c>
    </row>
    <row r="65" spans="1:8">
      <c r="A65" s="1">
        <v>475</v>
      </c>
      <c r="B65" s="1" t="s">
        <v>2</v>
      </c>
      <c r="C65" s="1">
        <v>54</v>
      </c>
      <c r="D65" s="6">
        <v>47</v>
      </c>
      <c r="E65" s="1">
        <v>59</v>
      </c>
      <c r="F65" s="1" t="s">
        <v>14</v>
      </c>
      <c r="G65" s="1">
        <v>9</v>
      </c>
      <c r="H65" s="1">
        <v>1997</v>
      </c>
    </row>
    <row r="66" spans="1:8" hidden="1">
      <c r="A66" s="1">
        <v>2597</v>
      </c>
      <c r="B66" s="1" t="s">
        <v>1</v>
      </c>
      <c r="C66" s="1">
        <v>63</v>
      </c>
      <c r="D66" s="6">
        <v>48</v>
      </c>
      <c r="E66" s="1">
        <v>51</v>
      </c>
      <c r="F66" s="1" t="s">
        <v>15</v>
      </c>
      <c r="G66" s="1">
        <v>10</v>
      </c>
      <c r="H66" s="1">
        <v>2002</v>
      </c>
    </row>
    <row r="67" spans="1:8" hidden="1">
      <c r="A67" s="1">
        <v>1076</v>
      </c>
      <c r="B67" s="1" t="s">
        <v>1</v>
      </c>
      <c r="C67" s="1">
        <v>18</v>
      </c>
      <c r="D67" s="6">
        <v>48</v>
      </c>
      <c r="E67" s="1">
        <v>59</v>
      </c>
      <c r="F67" s="1" t="s">
        <v>20</v>
      </c>
      <c r="G67" s="1">
        <v>3</v>
      </c>
      <c r="H67" s="1">
        <v>2024</v>
      </c>
    </row>
    <row r="68" spans="1:8" hidden="1">
      <c r="A68" s="1">
        <v>1529</v>
      </c>
      <c r="B68" s="1" t="s">
        <v>2</v>
      </c>
      <c r="C68" s="1">
        <v>43</v>
      </c>
      <c r="D68" s="6">
        <v>48</v>
      </c>
      <c r="E68" s="1">
        <v>50</v>
      </c>
      <c r="F68" s="1" t="s">
        <v>18</v>
      </c>
      <c r="G68" s="1">
        <v>5</v>
      </c>
      <c r="H68" s="1">
        <v>2025</v>
      </c>
    </row>
    <row r="69" spans="1:8" hidden="1">
      <c r="A69" s="1">
        <v>3892</v>
      </c>
      <c r="B69" s="1" t="s">
        <v>2</v>
      </c>
      <c r="C69" s="1">
        <v>68</v>
      </c>
      <c r="D69" s="6">
        <v>48</v>
      </c>
      <c r="E69" s="1">
        <v>48</v>
      </c>
      <c r="F69" s="1" t="s">
        <v>18</v>
      </c>
      <c r="G69" s="1">
        <v>8</v>
      </c>
      <c r="H69" s="1">
        <v>2024</v>
      </c>
    </row>
    <row r="70" spans="1:8">
      <c r="A70" s="1">
        <v>1094</v>
      </c>
      <c r="B70" s="1" t="s">
        <v>1</v>
      </c>
      <c r="C70" s="1">
        <v>19</v>
      </c>
      <c r="D70" s="6">
        <v>48</v>
      </c>
      <c r="E70" s="1">
        <v>59</v>
      </c>
      <c r="F70" s="1" t="s">
        <v>14</v>
      </c>
      <c r="G70" s="1">
        <v>4</v>
      </c>
      <c r="H70" s="1">
        <v>2000</v>
      </c>
    </row>
    <row r="71" spans="1:8" hidden="1">
      <c r="A71" s="1">
        <v>2654</v>
      </c>
      <c r="B71" s="1" t="s">
        <v>2</v>
      </c>
      <c r="C71" s="1">
        <v>32</v>
      </c>
      <c r="D71" s="6">
        <v>48</v>
      </c>
      <c r="E71" s="1">
        <v>47</v>
      </c>
      <c r="F71" s="1" t="s">
        <v>19</v>
      </c>
      <c r="G71" s="1">
        <v>6</v>
      </c>
      <c r="H71" s="1">
        <v>2013</v>
      </c>
    </row>
    <row r="72" spans="1:8">
      <c r="A72" s="1">
        <v>3225</v>
      </c>
      <c r="B72" s="1" t="s">
        <v>1</v>
      </c>
      <c r="C72" s="1">
        <v>70</v>
      </c>
      <c r="D72" s="6">
        <v>49</v>
      </c>
      <c r="E72" s="1">
        <v>55</v>
      </c>
      <c r="F72" s="1" t="s">
        <v>14</v>
      </c>
      <c r="G72" s="1">
        <v>7</v>
      </c>
      <c r="H72" s="1">
        <v>2025</v>
      </c>
    </row>
    <row r="73" spans="1:8" hidden="1">
      <c r="A73" s="1">
        <v>3381</v>
      </c>
      <c r="B73" s="1" t="s">
        <v>2</v>
      </c>
      <c r="C73" s="1">
        <v>47</v>
      </c>
      <c r="D73" s="6">
        <v>49</v>
      </c>
      <c r="E73" s="1">
        <v>42</v>
      </c>
      <c r="F73" s="1" t="s">
        <v>20</v>
      </c>
      <c r="G73" s="1">
        <v>5</v>
      </c>
      <c r="H73" s="1">
        <v>2013</v>
      </c>
    </row>
    <row r="74" spans="1:8" hidden="1">
      <c r="A74" s="1">
        <v>3285</v>
      </c>
      <c r="B74" s="1" t="s">
        <v>2</v>
      </c>
      <c r="C74" s="1">
        <v>60</v>
      </c>
      <c r="D74" s="6">
        <v>50</v>
      </c>
      <c r="E74" s="1">
        <v>49</v>
      </c>
      <c r="F74" s="1" t="s">
        <v>15</v>
      </c>
      <c r="G74" s="1">
        <v>2</v>
      </c>
      <c r="H74" s="1">
        <v>1998</v>
      </c>
    </row>
    <row r="75" spans="1:8" hidden="1">
      <c r="A75" s="1">
        <v>4468</v>
      </c>
      <c r="B75" s="1" t="s">
        <v>2</v>
      </c>
      <c r="C75" s="1">
        <v>60</v>
      </c>
      <c r="D75" s="6">
        <v>50</v>
      </c>
      <c r="E75" s="1">
        <v>56</v>
      </c>
      <c r="F75" s="1" t="s">
        <v>17</v>
      </c>
      <c r="G75" s="1">
        <v>10</v>
      </c>
      <c r="H75" s="1">
        <v>2019</v>
      </c>
    </row>
    <row r="76" spans="1:8" hidden="1">
      <c r="A76" s="1">
        <v>1223</v>
      </c>
      <c r="B76" s="1" t="s">
        <v>1</v>
      </c>
      <c r="C76" s="1">
        <v>59</v>
      </c>
      <c r="D76" s="6">
        <v>54</v>
      </c>
      <c r="E76" s="1">
        <v>47</v>
      </c>
      <c r="F76" s="1" t="s">
        <v>17</v>
      </c>
      <c r="G76" s="1">
        <v>4</v>
      </c>
      <c r="H76" s="1">
        <v>2017</v>
      </c>
    </row>
    <row r="77" spans="1:8" hidden="1">
      <c r="A77" s="1">
        <v>855</v>
      </c>
      <c r="B77" s="1" t="s">
        <v>1</v>
      </c>
      <c r="C77" s="1">
        <v>26</v>
      </c>
      <c r="D77" s="6">
        <v>54</v>
      </c>
      <c r="E77" s="1">
        <v>54</v>
      </c>
      <c r="F77" s="1" t="s">
        <v>17</v>
      </c>
      <c r="G77" s="1">
        <v>4</v>
      </c>
      <c r="H77" s="1">
        <v>1994</v>
      </c>
    </row>
    <row r="78" spans="1:8" hidden="1">
      <c r="A78" s="1">
        <v>2804</v>
      </c>
      <c r="B78" s="1" t="s">
        <v>2</v>
      </c>
      <c r="C78" s="1">
        <v>45</v>
      </c>
      <c r="D78" s="6">
        <v>54</v>
      </c>
      <c r="E78" s="1">
        <v>53</v>
      </c>
      <c r="F78" s="1" t="s">
        <v>17</v>
      </c>
      <c r="G78" s="1">
        <v>1</v>
      </c>
      <c r="H78" s="1">
        <v>2009</v>
      </c>
    </row>
    <row r="79" spans="1:8" hidden="1">
      <c r="A79" s="1">
        <v>4204</v>
      </c>
      <c r="B79" s="1" t="s">
        <v>1</v>
      </c>
      <c r="C79" s="1">
        <v>40</v>
      </c>
      <c r="D79" s="6">
        <v>54</v>
      </c>
      <c r="E79" s="1">
        <v>48</v>
      </c>
      <c r="F79" s="1" t="s">
        <v>17</v>
      </c>
      <c r="G79" s="1">
        <v>3</v>
      </c>
      <c r="H79" s="1">
        <v>1994</v>
      </c>
    </row>
    <row r="80" spans="1:8" hidden="1">
      <c r="A80" s="1">
        <v>1530</v>
      </c>
      <c r="B80" s="1" t="s">
        <v>2</v>
      </c>
      <c r="C80" s="1">
        <v>23</v>
      </c>
      <c r="D80" s="6">
        <v>54</v>
      </c>
      <c r="E80" s="1">
        <v>52</v>
      </c>
      <c r="F80" s="1" t="s">
        <v>19</v>
      </c>
      <c r="G80" s="1">
        <v>10</v>
      </c>
      <c r="H80" s="1">
        <v>2006</v>
      </c>
    </row>
    <row r="81" spans="1:8" hidden="1">
      <c r="A81" s="1">
        <v>4684</v>
      </c>
      <c r="B81" s="1" t="s">
        <v>2</v>
      </c>
      <c r="C81" s="1">
        <v>49</v>
      </c>
      <c r="D81" s="6">
        <v>54</v>
      </c>
      <c r="E81" s="1">
        <v>42</v>
      </c>
      <c r="F81" s="1" t="s">
        <v>18</v>
      </c>
      <c r="G81" s="1">
        <v>2</v>
      </c>
      <c r="H81" s="1">
        <v>1991</v>
      </c>
    </row>
    <row r="82" spans="1:8" hidden="1">
      <c r="A82" s="1">
        <v>4744</v>
      </c>
      <c r="B82" s="1" t="s">
        <v>1</v>
      </c>
      <c r="C82" s="1">
        <v>57</v>
      </c>
      <c r="D82" s="6">
        <v>54</v>
      </c>
      <c r="E82" s="1">
        <v>51</v>
      </c>
      <c r="F82" s="1" t="s">
        <v>18</v>
      </c>
      <c r="G82" s="1">
        <v>5</v>
      </c>
      <c r="H82" s="1">
        <v>2023</v>
      </c>
    </row>
    <row r="83" spans="1:8" hidden="1">
      <c r="A83" s="1">
        <v>2461</v>
      </c>
      <c r="B83" s="1" t="s">
        <v>1</v>
      </c>
      <c r="C83" s="1">
        <v>38</v>
      </c>
      <c r="D83" s="6">
        <v>54</v>
      </c>
      <c r="E83" s="1">
        <v>55</v>
      </c>
      <c r="F83" s="1" t="s">
        <v>17</v>
      </c>
      <c r="G83" s="1">
        <v>2</v>
      </c>
      <c r="H83" s="1">
        <v>2002</v>
      </c>
    </row>
    <row r="84" spans="1:8" hidden="1">
      <c r="A84" s="1">
        <v>1921</v>
      </c>
      <c r="B84" s="1" t="s">
        <v>1</v>
      </c>
      <c r="C84" s="1">
        <v>67</v>
      </c>
      <c r="D84" s="6">
        <v>54</v>
      </c>
      <c r="E84" s="1">
        <v>41</v>
      </c>
      <c r="F84" s="1" t="s">
        <v>18</v>
      </c>
      <c r="G84" s="1">
        <v>1</v>
      </c>
      <c r="H84" s="1">
        <v>1994</v>
      </c>
    </row>
    <row r="85" spans="1:8" hidden="1">
      <c r="A85" s="1">
        <v>1780</v>
      </c>
      <c r="B85" s="1" t="s">
        <v>2</v>
      </c>
      <c r="C85" s="1">
        <v>46</v>
      </c>
      <c r="D85" s="6">
        <v>54</v>
      </c>
      <c r="E85" s="1">
        <v>44</v>
      </c>
      <c r="F85" s="1" t="s">
        <v>15</v>
      </c>
      <c r="G85" s="1">
        <v>3</v>
      </c>
      <c r="H85" s="1">
        <v>2007</v>
      </c>
    </row>
    <row r="86" spans="1:8">
      <c r="A86" s="1">
        <v>670</v>
      </c>
      <c r="B86" s="1" t="s">
        <v>2</v>
      </c>
      <c r="C86" s="1">
        <v>21</v>
      </c>
      <c r="D86" s="6">
        <v>54</v>
      </c>
      <c r="E86" s="1">
        <v>57</v>
      </c>
      <c r="F86" s="1" t="s">
        <v>14</v>
      </c>
      <c r="G86" s="1">
        <v>7</v>
      </c>
      <c r="H86" s="1">
        <v>1994</v>
      </c>
    </row>
    <row r="87" spans="1:8" hidden="1">
      <c r="A87" s="1">
        <v>654</v>
      </c>
      <c r="B87" s="1" t="s">
        <v>1</v>
      </c>
      <c r="C87" s="1">
        <v>48</v>
      </c>
      <c r="D87" s="6">
        <v>54</v>
      </c>
      <c r="E87" s="1">
        <v>46</v>
      </c>
      <c r="F87" s="1" t="s">
        <v>16</v>
      </c>
      <c r="G87" s="1">
        <v>10</v>
      </c>
      <c r="H87" s="1">
        <v>2016</v>
      </c>
    </row>
    <row r="88" spans="1:8" hidden="1">
      <c r="A88" s="1">
        <v>3189</v>
      </c>
      <c r="B88" s="1" t="s">
        <v>2</v>
      </c>
      <c r="C88" s="1">
        <v>55</v>
      </c>
      <c r="D88" s="6">
        <v>57</v>
      </c>
      <c r="E88" s="1">
        <v>58</v>
      </c>
      <c r="F88" s="1" t="s">
        <v>20</v>
      </c>
      <c r="G88" s="1">
        <v>8</v>
      </c>
      <c r="H88" s="1">
        <v>1990</v>
      </c>
    </row>
    <row r="89" spans="1:8" hidden="1">
      <c r="A89" s="1">
        <v>3756</v>
      </c>
      <c r="B89" s="1" t="s">
        <v>2</v>
      </c>
      <c r="C89" s="1">
        <v>22</v>
      </c>
      <c r="D89" s="6">
        <v>57</v>
      </c>
      <c r="E89" s="1">
        <v>55</v>
      </c>
      <c r="F89" s="1" t="s">
        <v>19</v>
      </c>
      <c r="G89" s="1">
        <v>1</v>
      </c>
      <c r="H89" s="1">
        <v>2022</v>
      </c>
    </row>
    <row r="90" spans="1:8">
      <c r="A90" s="1">
        <v>2164</v>
      </c>
      <c r="B90" s="1" t="s">
        <v>2</v>
      </c>
      <c r="C90" s="1">
        <v>34</v>
      </c>
      <c r="D90" s="6">
        <v>58</v>
      </c>
      <c r="E90" s="1">
        <v>60</v>
      </c>
      <c r="F90" s="1" t="s">
        <v>14</v>
      </c>
      <c r="G90" s="1">
        <v>4</v>
      </c>
      <c r="H90" s="1">
        <v>2007</v>
      </c>
    </row>
    <row r="91" spans="1:8" hidden="1">
      <c r="A91" s="1">
        <v>433</v>
      </c>
      <c r="B91" s="1" t="s">
        <v>2</v>
      </c>
      <c r="C91" s="1">
        <v>50</v>
      </c>
      <c r="D91" s="6">
        <v>58</v>
      </c>
      <c r="E91" s="1">
        <v>46</v>
      </c>
      <c r="F91" s="1" t="s">
        <v>16</v>
      </c>
      <c r="G91" s="1">
        <v>8</v>
      </c>
      <c r="H91" s="1">
        <v>1997</v>
      </c>
    </row>
    <row r="92" spans="1:8">
      <c r="A92" s="1">
        <v>3245</v>
      </c>
      <c r="B92" s="1" t="s">
        <v>2</v>
      </c>
      <c r="C92" s="1">
        <v>68</v>
      </c>
      <c r="D92" s="6">
        <v>59</v>
      </c>
      <c r="E92" s="1">
        <v>55</v>
      </c>
      <c r="F92" s="1" t="s">
        <v>14</v>
      </c>
      <c r="G92" s="1">
        <v>5</v>
      </c>
      <c r="H92" s="1">
        <v>2017</v>
      </c>
    </row>
    <row r="93" spans="1:8" hidden="1">
      <c r="A93" s="1">
        <v>4252</v>
      </c>
      <c r="B93" s="1" t="s">
        <v>1</v>
      </c>
      <c r="C93" s="1">
        <v>18</v>
      </c>
      <c r="D93" s="6">
        <v>59</v>
      </c>
      <c r="E93" s="1">
        <v>41</v>
      </c>
      <c r="F93" s="1" t="s">
        <v>20</v>
      </c>
      <c r="G93" s="1">
        <v>2</v>
      </c>
      <c r="H93" s="1">
        <v>2017</v>
      </c>
    </row>
    <row r="94" spans="1:8" hidden="1">
      <c r="A94" s="1">
        <v>773</v>
      </c>
      <c r="B94" s="1" t="s">
        <v>1</v>
      </c>
      <c r="C94" s="1">
        <v>48</v>
      </c>
      <c r="D94" s="6">
        <v>60</v>
      </c>
      <c r="E94" s="1">
        <v>49</v>
      </c>
      <c r="F94" s="1" t="s">
        <v>16</v>
      </c>
      <c r="G94" s="1">
        <v>2</v>
      </c>
      <c r="H94" s="1">
        <v>2005</v>
      </c>
    </row>
    <row r="95" spans="1:8" hidden="1">
      <c r="A95" s="1">
        <v>3228</v>
      </c>
      <c r="B95" s="1" t="s">
        <v>2</v>
      </c>
      <c r="C95" s="1">
        <v>40</v>
      </c>
      <c r="D95" s="6">
        <v>60</v>
      </c>
      <c r="E95" s="1">
        <v>40</v>
      </c>
      <c r="F95" s="1" t="s">
        <v>18</v>
      </c>
      <c r="G95" s="1">
        <v>5</v>
      </c>
      <c r="H95" s="1">
        <v>2020</v>
      </c>
    </row>
    <row r="96" spans="1:8" hidden="1">
      <c r="A96" s="1">
        <v>4715</v>
      </c>
      <c r="B96" s="1" t="s">
        <v>2</v>
      </c>
      <c r="C96" s="1">
        <v>32</v>
      </c>
      <c r="D96" s="6">
        <v>60</v>
      </c>
      <c r="E96" s="1">
        <v>42</v>
      </c>
      <c r="F96" s="1" t="s">
        <v>16</v>
      </c>
      <c r="G96" s="1">
        <v>7</v>
      </c>
      <c r="H96" s="1">
        <v>1987</v>
      </c>
    </row>
    <row r="97" spans="1:8" hidden="1">
      <c r="A97" s="1">
        <v>822</v>
      </c>
      <c r="B97" s="1" t="s">
        <v>1</v>
      </c>
      <c r="C97" s="1">
        <v>24</v>
      </c>
      <c r="D97" s="6">
        <v>60</v>
      </c>
      <c r="E97" s="1">
        <v>52</v>
      </c>
      <c r="F97" s="1" t="s">
        <v>20</v>
      </c>
      <c r="G97" s="1">
        <v>5</v>
      </c>
      <c r="H97" s="1">
        <v>2009</v>
      </c>
    </row>
    <row r="98" spans="1:8" hidden="1">
      <c r="A98" s="1">
        <v>4632</v>
      </c>
      <c r="B98" s="1" t="s">
        <v>2</v>
      </c>
      <c r="C98" s="1">
        <v>47</v>
      </c>
      <c r="D98" s="6">
        <v>60</v>
      </c>
      <c r="E98" s="1">
        <v>47</v>
      </c>
      <c r="F98" s="1" t="s">
        <v>15</v>
      </c>
      <c r="G98" s="1">
        <v>6</v>
      </c>
      <c r="H98" s="1">
        <v>2010</v>
      </c>
    </row>
    <row r="99" spans="1:8" hidden="1">
      <c r="A99" s="1">
        <v>2807</v>
      </c>
      <c r="B99" s="1" t="s">
        <v>2</v>
      </c>
      <c r="C99" s="1">
        <v>27</v>
      </c>
      <c r="D99" s="6">
        <v>60</v>
      </c>
      <c r="E99" s="1">
        <v>50</v>
      </c>
      <c r="F99" s="1" t="s">
        <v>20</v>
      </c>
      <c r="G99" s="1">
        <v>10</v>
      </c>
      <c r="H99" s="1">
        <v>2008</v>
      </c>
    </row>
    <row r="100" spans="1:8" hidden="1">
      <c r="A100" s="1">
        <v>1164</v>
      </c>
      <c r="B100" s="1" t="s">
        <v>1</v>
      </c>
      <c r="C100" s="1">
        <v>48</v>
      </c>
      <c r="D100" s="6">
        <v>61</v>
      </c>
      <c r="E100" s="1">
        <v>42</v>
      </c>
      <c r="F100" s="1" t="s">
        <v>19</v>
      </c>
      <c r="G100" s="1">
        <v>8</v>
      </c>
      <c r="H100" s="1">
        <v>2013</v>
      </c>
    </row>
    <row r="101" spans="1:8" hidden="1">
      <c r="A101" s="1">
        <v>2700</v>
      </c>
      <c r="B101" s="1" t="s">
        <v>1</v>
      </c>
      <c r="C101" s="1">
        <v>20</v>
      </c>
      <c r="D101" s="6">
        <v>61</v>
      </c>
      <c r="E101" s="1">
        <v>49</v>
      </c>
      <c r="F101" s="1" t="s">
        <v>17</v>
      </c>
      <c r="G101" s="1">
        <v>6</v>
      </c>
      <c r="H101" s="1">
        <v>2001</v>
      </c>
    </row>
    <row r="102" spans="1:8" hidden="1">
      <c r="A102" s="1">
        <v>8</v>
      </c>
      <c r="B102" s="1" t="s">
        <v>2</v>
      </c>
      <c r="C102" s="1">
        <v>23</v>
      </c>
      <c r="D102" s="6">
        <v>62</v>
      </c>
      <c r="E102" s="1">
        <v>41</v>
      </c>
      <c r="F102" s="1" t="s">
        <v>15</v>
      </c>
      <c r="G102" s="1">
        <v>10</v>
      </c>
      <c r="H102" s="1">
        <v>2011</v>
      </c>
    </row>
    <row r="103" spans="1:8">
      <c r="A103" s="1">
        <v>1152</v>
      </c>
      <c r="B103" s="1" t="s">
        <v>2</v>
      </c>
      <c r="C103" s="1">
        <v>49</v>
      </c>
      <c r="D103" s="6">
        <v>62</v>
      </c>
      <c r="E103" s="1">
        <v>48</v>
      </c>
      <c r="F103" s="1" t="s">
        <v>14</v>
      </c>
      <c r="G103" s="1">
        <v>5</v>
      </c>
      <c r="H103" s="1">
        <v>2012</v>
      </c>
    </row>
    <row r="104" spans="1:8" hidden="1">
      <c r="A104" s="1">
        <v>713</v>
      </c>
      <c r="B104" s="1" t="s">
        <v>1</v>
      </c>
      <c r="C104" s="1">
        <v>67</v>
      </c>
      <c r="D104" s="6">
        <v>62</v>
      </c>
      <c r="E104" s="1">
        <v>59</v>
      </c>
      <c r="F104" s="1" t="s">
        <v>18</v>
      </c>
      <c r="G104" s="1">
        <v>6</v>
      </c>
      <c r="H104" s="1">
        <v>1986</v>
      </c>
    </row>
    <row r="105" spans="1:8" hidden="1">
      <c r="A105" s="1">
        <v>818</v>
      </c>
      <c r="B105" s="1" t="s">
        <v>1</v>
      </c>
      <c r="C105" s="1">
        <v>26</v>
      </c>
      <c r="D105" s="6">
        <v>62</v>
      </c>
      <c r="E105" s="1">
        <v>55</v>
      </c>
      <c r="F105" s="1" t="s">
        <v>18</v>
      </c>
      <c r="G105" s="1">
        <v>7</v>
      </c>
      <c r="H105" s="1">
        <v>1999</v>
      </c>
    </row>
    <row r="106" spans="1:8" hidden="1">
      <c r="A106" s="1">
        <v>3510</v>
      </c>
      <c r="B106" s="1" t="s">
        <v>1</v>
      </c>
      <c r="C106" s="1">
        <v>49</v>
      </c>
      <c r="D106" s="6">
        <v>62</v>
      </c>
      <c r="E106" s="1">
        <v>56</v>
      </c>
      <c r="F106" s="1" t="s">
        <v>20</v>
      </c>
      <c r="G106" s="1">
        <v>3</v>
      </c>
      <c r="H106" s="1">
        <v>2005</v>
      </c>
    </row>
    <row r="107" spans="1:8">
      <c r="A107" s="1">
        <v>338</v>
      </c>
      <c r="B107" s="1" t="s">
        <v>2</v>
      </c>
      <c r="C107" s="1">
        <v>21</v>
      </c>
      <c r="D107" s="6">
        <v>62</v>
      </c>
      <c r="E107" s="1">
        <v>42</v>
      </c>
      <c r="F107" s="1" t="s">
        <v>14</v>
      </c>
      <c r="G107" s="1">
        <v>7</v>
      </c>
      <c r="H107" s="1">
        <v>2019</v>
      </c>
    </row>
    <row r="108" spans="1:8" hidden="1">
      <c r="A108" s="1">
        <v>2209</v>
      </c>
      <c r="B108" s="1" t="s">
        <v>2</v>
      </c>
      <c r="C108" s="1">
        <v>66</v>
      </c>
      <c r="D108" s="6">
        <v>63</v>
      </c>
      <c r="E108" s="1">
        <v>50</v>
      </c>
      <c r="F108" s="1" t="s">
        <v>19</v>
      </c>
      <c r="G108" s="1">
        <v>4</v>
      </c>
      <c r="H108" s="1">
        <v>1992</v>
      </c>
    </row>
    <row r="109" spans="1:8" hidden="1">
      <c r="A109" s="1">
        <v>3512</v>
      </c>
      <c r="B109" s="1" t="s">
        <v>1</v>
      </c>
      <c r="C109" s="1">
        <v>54</v>
      </c>
      <c r="D109" s="6">
        <v>63</v>
      </c>
      <c r="E109" s="1">
        <v>46</v>
      </c>
      <c r="F109" s="1" t="s">
        <v>17</v>
      </c>
      <c r="G109" s="1">
        <v>8</v>
      </c>
      <c r="H109" s="1">
        <v>1986</v>
      </c>
    </row>
    <row r="110" spans="1:8" hidden="1">
      <c r="A110" s="1">
        <v>4182</v>
      </c>
      <c r="B110" s="1" t="s">
        <v>1</v>
      </c>
      <c r="C110" s="1">
        <v>68</v>
      </c>
      <c r="D110" s="6">
        <v>63</v>
      </c>
      <c r="E110" s="1">
        <v>43</v>
      </c>
      <c r="F110" s="1" t="s">
        <v>18</v>
      </c>
      <c r="G110" s="1">
        <v>2</v>
      </c>
      <c r="H110" s="1">
        <v>1993</v>
      </c>
    </row>
    <row r="111" spans="1:8" hidden="1">
      <c r="A111" s="1">
        <v>2066</v>
      </c>
      <c r="B111" s="1" t="s">
        <v>1</v>
      </c>
      <c r="C111" s="1">
        <v>66</v>
      </c>
      <c r="D111" s="6">
        <v>63</v>
      </c>
      <c r="E111" s="1">
        <v>48</v>
      </c>
      <c r="F111" s="1" t="s">
        <v>16</v>
      </c>
      <c r="G111" s="1">
        <v>1</v>
      </c>
      <c r="H111" s="1">
        <v>2023</v>
      </c>
    </row>
    <row r="112" spans="1:8" hidden="1">
      <c r="A112" s="1">
        <v>1995</v>
      </c>
      <c r="B112" s="1" t="s">
        <v>1</v>
      </c>
      <c r="C112" s="1">
        <v>65</v>
      </c>
      <c r="D112" s="6">
        <v>63</v>
      </c>
      <c r="E112" s="1">
        <v>52</v>
      </c>
      <c r="F112" s="1" t="s">
        <v>19</v>
      </c>
      <c r="G112" s="1">
        <v>6</v>
      </c>
      <c r="H112" s="1">
        <v>2010</v>
      </c>
    </row>
    <row r="113" spans="1:8" hidden="1">
      <c r="A113" s="1">
        <v>1523</v>
      </c>
      <c r="B113" s="1" t="s">
        <v>2</v>
      </c>
      <c r="C113" s="1">
        <v>19</v>
      </c>
      <c r="D113" s="6">
        <v>63</v>
      </c>
      <c r="E113" s="1">
        <v>54</v>
      </c>
      <c r="F113" s="1" t="s">
        <v>15</v>
      </c>
      <c r="G113" s="1">
        <v>10</v>
      </c>
      <c r="H113" s="1">
        <v>2008</v>
      </c>
    </row>
    <row r="114" spans="1:8" hidden="1">
      <c r="A114" s="1">
        <v>1099</v>
      </c>
      <c r="B114" s="1" t="s">
        <v>2</v>
      </c>
      <c r="C114" s="1">
        <v>38</v>
      </c>
      <c r="D114" s="6">
        <v>64</v>
      </c>
      <c r="E114" s="1">
        <v>42</v>
      </c>
      <c r="F114" s="1" t="s">
        <v>16</v>
      </c>
      <c r="G114" s="1">
        <v>5</v>
      </c>
      <c r="H114" s="1">
        <v>1997</v>
      </c>
    </row>
    <row r="115" spans="1:8">
      <c r="A115" s="1">
        <v>309</v>
      </c>
      <c r="B115" s="1" t="s">
        <v>1</v>
      </c>
      <c r="C115" s="1">
        <v>19</v>
      </c>
      <c r="D115" s="6">
        <v>64</v>
      </c>
      <c r="E115" s="1">
        <v>46</v>
      </c>
      <c r="F115" s="1" t="s">
        <v>14</v>
      </c>
      <c r="G115" s="1">
        <v>3</v>
      </c>
      <c r="H115" s="1">
        <v>2025</v>
      </c>
    </row>
    <row r="116" spans="1:8" hidden="1">
      <c r="A116" s="1">
        <v>4185</v>
      </c>
      <c r="B116" s="1" t="s">
        <v>2</v>
      </c>
      <c r="C116" s="1">
        <v>18</v>
      </c>
      <c r="D116" s="6">
        <v>65</v>
      </c>
      <c r="E116" s="1">
        <v>48</v>
      </c>
      <c r="F116" s="1" t="s">
        <v>20</v>
      </c>
      <c r="G116" s="1">
        <v>3</v>
      </c>
      <c r="H116" s="1">
        <v>1991</v>
      </c>
    </row>
    <row r="117" spans="1:8">
      <c r="A117" s="1">
        <v>4604</v>
      </c>
      <c r="B117" s="1" t="s">
        <v>2</v>
      </c>
      <c r="C117" s="1">
        <v>19</v>
      </c>
      <c r="D117" s="6">
        <v>65</v>
      </c>
      <c r="E117" s="1">
        <v>50</v>
      </c>
      <c r="F117" s="1" t="s">
        <v>14</v>
      </c>
      <c r="G117" s="1">
        <v>1</v>
      </c>
      <c r="H117" s="1">
        <v>2004</v>
      </c>
    </row>
    <row r="118" spans="1:8" hidden="1">
      <c r="A118" s="1">
        <v>96</v>
      </c>
      <c r="B118" s="1" t="s">
        <v>2</v>
      </c>
      <c r="C118" s="1">
        <v>63</v>
      </c>
      <c r="D118" s="6">
        <v>65</v>
      </c>
      <c r="E118" s="1">
        <v>43</v>
      </c>
      <c r="F118" s="1" t="s">
        <v>20</v>
      </c>
      <c r="G118" s="1">
        <v>10</v>
      </c>
      <c r="H118" s="1">
        <v>2008</v>
      </c>
    </row>
    <row r="119" spans="1:8" hidden="1">
      <c r="A119" s="1">
        <v>110</v>
      </c>
      <c r="B119" s="1" t="s">
        <v>2</v>
      </c>
      <c r="C119" s="1">
        <v>49</v>
      </c>
      <c r="D119" s="6">
        <v>65</v>
      </c>
      <c r="E119" s="1">
        <v>59</v>
      </c>
      <c r="F119" s="1" t="s">
        <v>17</v>
      </c>
      <c r="G119" s="1">
        <v>8</v>
      </c>
      <c r="H119" s="1">
        <v>2001</v>
      </c>
    </row>
    <row r="120" spans="1:8">
      <c r="A120" s="1">
        <v>4487</v>
      </c>
      <c r="B120" s="1" t="s">
        <v>2</v>
      </c>
      <c r="C120" s="1">
        <v>51</v>
      </c>
      <c r="D120" s="6">
        <v>67</v>
      </c>
      <c r="E120" s="1">
        <v>43</v>
      </c>
      <c r="F120" s="1" t="s">
        <v>14</v>
      </c>
      <c r="G120" s="1">
        <v>2</v>
      </c>
      <c r="H120" s="1">
        <v>2025</v>
      </c>
    </row>
    <row r="121" spans="1:8" hidden="1">
      <c r="A121" s="1">
        <v>1813</v>
      </c>
      <c r="B121" s="1" t="s">
        <v>2</v>
      </c>
      <c r="C121" s="1">
        <v>50</v>
      </c>
      <c r="D121" s="6">
        <v>67</v>
      </c>
      <c r="E121" s="1">
        <v>57</v>
      </c>
      <c r="F121" s="1" t="s">
        <v>20</v>
      </c>
      <c r="G121" s="1">
        <v>10</v>
      </c>
      <c r="H121" s="1">
        <v>1989</v>
      </c>
    </row>
    <row r="122" spans="1:8">
      <c r="A122" s="1">
        <v>867</v>
      </c>
      <c r="B122" s="1" t="s">
        <v>1</v>
      </c>
      <c r="C122" s="1">
        <v>27</v>
      </c>
      <c r="D122" s="6">
        <v>67</v>
      </c>
      <c r="E122" s="1">
        <v>56</v>
      </c>
      <c r="F122" s="1" t="s">
        <v>14</v>
      </c>
      <c r="G122" s="1">
        <v>1</v>
      </c>
      <c r="H122" s="1">
        <v>2013</v>
      </c>
    </row>
    <row r="123" spans="1:8" hidden="1">
      <c r="A123" s="1">
        <v>2369</v>
      </c>
      <c r="B123" s="1" t="s">
        <v>2</v>
      </c>
      <c r="C123" s="1">
        <v>38</v>
      </c>
      <c r="D123" s="6">
        <v>67</v>
      </c>
      <c r="E123" s="1">
        <v>40</v>
      </c>
      <c r="F123" s="1" t="s">
        <v>16</v>
      </c>
      <c r="G123" s="1">
        <v>1</v>
      </c>
      <c r="H123" s="1">
        <v>1993</v>
      </c>
    </row>
    <row r="124" spans="1:8" hidden="1">
      <c r="A124" s="1">
        <v>4735</v>
      </c>
      <c r="B124" s="1" t="s">
        <v>2</v>
      </c>
      <c r="C124" s="1">
        <v>40</v>
      </c>
      <c r="D124" s="6">
        <v>69</v>
      </c>
      <c r="E124" s="1">
        <v>58</v>
      </c>
      <c r="F124" s="1" t="s">
        <v>20</v>
      </c>
      <c r="G124" s="1">
        <v>2</v>
      </c>
      <c r="H124" s="1">
        <v>2011</v>
      </c>
    </row>
    <row r="125" spans="1:8" hidden="1">
      <c r="A125" s="1">
        <v>2292</v>
      </c>
      <c r="B125" s="1" t="s">
        <v>1</v>
      </c>
      <c r="C125" s="1">
        <v>39</v>
      </c>
      <c r="D125" s="6">
        <v>69</v>
      </c>
      <c r="E125" s="1">
        <v>91</v>
      </c>
      <c r="F125" s="1" t="s">
        <v>16</v>
      </c>
      <c r="G125" s="1">
        <v>1</v>
      </c>
      <c r="H125" s="1">
        <v>1989</v>
      </c>
    </row>
    <row r="126" spans="1:8" hidden="1">
      <c r="A126" s="1">
        <v>855</v>
      </c>
      <c r="B126" s="1" t="s">
        <v>2</v>
      </c>
      <c r="C126" s="1">
        <v>23</v>
      </c>
      <c r="D126" s="6">
        <v>70</v>
      </c>
      <c r="E126" s="1">
        <v>29</v>
      </c>
      <c r="F126" s="1" t="s">
        <v>16</v>
      </c>
      <c r="G126" s="1">
        <v>9</v>
      </c>
      <c r="H126" s="1">
        <v>2008</v>
      </c>
    </row>
    <row r="127" spans="1:8" hidden="1">
      <c r="A127" s="1">
        <v>2636</v>
      </c>
      <c r="B127" s="1" t="s">
        <v>2</v>
      </c>
      <c r="C127" s="1">
        <v>31</v>
      </c>
      <c r="D127" s="6">
        <v>70</v>
      </c>
      <c r="E127" s="1">
        <v>77</v>
      </c>
      <c r="F127" s="1" t="s">
        <v>17</v>
      </c>
      <c r="G127" s="1">
        <v>1</v>
      </c>
      <c r="H127" s="1">
        <v>2014</v>
      </c>
    </row>
    <row r="128" spans="1:8" hidden="1">
      <c r="A128" s="1">
        <v>2191</v>
      </c>
      <c r="B128" s="1" t="s">
        <v>1</v>
      </c>
      <c r="C128" s="1">
        <v>43</v>
      </c>
      <c r="D128" s="6">
        <v>71</v>
      </c>
      <c r="E128" s="1">
        <v>35</v>
      </c>
      <c r="F128" s="1" t="s">
        <v>16</v>
      </c>
      <c r="G128" s="1">
        <v>3</v>
      </c>
      <c r="H128" s="1">
        <v>1986</v>
      </c>
    </row>
    <row r="129" spans="1:8" hidden="1">
      <c r="A129" s="1">
        <v>699</v>
      </c>
      <c r="B129" s="1" t="s">
        <v>1</v>
      </c>
      <c r="C129" s="1">
        <v>40</v>
      </c>
      <c r="D129" s="6">
        <v>71</v>
      </c>
      <c r="E129" s="1">
        <v>95</v>
      </c>
      <c r="F129" s="1" t="s">
        <v>19</v>
      </c>
      <c r="G129" s="1">
        <v>4</v>
      </c>
      <c r="H129" s="1">
        <v>1990</v>
      </c>
    </row>
    <row r="130" spans="1:8" hidden="1">
      <c r="A130" s="1">
        <v>30</v>
      </c>
      <c r="B130" s="1" t="s">
        <v>1</v>
      </c>
      <c r="C130" s="1">
        <v>59</v>
      </c>
      <c r="D130" s="6">
        <v>71</v>
      </c>
      <c r="E130" s="1">
        <v>11</v>
      </c>
      <c r="F130" s="1" t="s">
        <v>18</v>
      </c>
      <c r="G130" s="1">
        <v>1</v>
      </c>
      <c r="H130" s="1">
        <v>2023</v>
      </c>
    </row>
    <row r="131" spans="1:8">
      <c r="A131" s="1">
        <v>2954</v>
      </c>
      <c r="B131" s="1" t="s">
        <v>1</v>
      </c>
      <c r="C131" s="1">
        <v>38</v>
      </c>
      <c r="D131" s="6">
        <v>71</v>
      </c>
      <c r="E131" s="1">
        <v>75</v>
      </c>
      <c r="F131" s="1" t="s">
        <v>14</v>
      </c>
      <c r="G131" s="1">
        <v>5</v>
      </c>
      <c r="H131" s="1">
        <v>2005</v>
      </c>
    </row>
    <row r="132" spans="1:8" hidden="1">
      <c r="A132" s="1">
        <v>269</v>
      </c>
      <c r="B132" s="1" t="s">
        <v>1</v>
      </c>
      <c r="C132" s="1">
        <v>47</v>
      </c>
      <c r="D132" s="6">
        <v>71</v>
      </c>
      <c r="E132" s="1">
        <v>9</v>
      </c>
      <c r="F132" s="1" t="s">
        <v>17</v>
      </c>
      <c r="G132" s="1">
        <v>1</v>
      </c>
      <c r="H132" s="1">
        <v>2011</v>
      </c>
    </row>
    <row r="133" spans="1:8" hidden="1">
      <c r="A133" s="1">
        <v>949</v>
      </c>
      <c r="B133" s="1" t="s">
        <v>1</v>
      </c>
      <c r="C133" s="1">
        <v>39</v>
      </c>
      <c r="D133" s="6">
        <v>71</v>
      </c>
      <c r="E133" s="1">
        <v>75</v>
      </c>
      <c r="F133" s="1" t="s">
        <v>18</v>
      </c>
      <c r="G133" s="1">
        <v>2</v>
      </c>
      <c r="H133" s="1">
        <v>2004</v>
      </c>
    </row>
    <row r="134" spans="1:8" hidden="1">
      <c r="A134" s="1">
        <v>3125</v>
      </c>
      <c r="B134" s="1" t="s">
        <v>2</v>
      </c>
      <c r="C134" s="1">
        <v>25</v>
      </c>
      <c r="D134" s="6">
        <v>72</v>
      </c>
      <c r="E134" s="1">
        <v>34</v>
      </c>
      <c r="F134" s="1" t="s">
        <v>19</v>
      </c>
      <c r="G134" s="1">
        <v>10</v>
      </c>
      <c r="H134" s="1">
        <v>1997</v>
      </c>
    </row>
    <row r="135" spans="1:8" hidden="1">
      <c r="A135" s="1">
        <v>4169</v>
      </c>
      <c r="B135" s="1" t="s">
        <v>2</v>
      </c>
      <c r="C135" s="1">
        <v>31</v>
      </c>
      <c r="D135" s="6">
        <v>72</v>
      </c>
      <c r="E135" s="1">
        <v>71</v>
      </c>
      <c r="F135" s="1" t="s">
        <v>17</v>
      </c>
      <c r="G135" s="1">
        <v>2</v>
      </c>
      <c r="H135" s="1">
        <v>2024</v>
      </c>
    </row>
    <row r="136" spans="1:8" hidden="1">
      <c r="A136" s="1">
        <v>3510</v>
      </c>
      <c r="B136" s="1" t="s">
        <v>1</v>
      </c>
      <c r="C136" s="1">
        <v>20</v>
      </c>
      <c r="D136" s="6">
        <v>73</v>
      </c>
      <c r="E136" s="1">
        <v>5</v>
      </c>
      <c r="F136" s="1" t="s">
        <v>19</v>
      </c>
      <c r="G136" s="1">
        <v>10</v>
      </c>
      <c r="H136" s="1">
        <v>2015</v>
      </c>
    </row>
    <row r="137" spans="1:8" hidden="1">
      <c r="A137" s="1">
        <v>95</v>
      </c>
      <c r="B137" s="1" t="s">
        <v>2</v>
      </c>
      <c r="C137" s="1">
        <v>29</v>
      </c>
      <c r="D137" s="6">
        <v>73</v>
      </c>
      <c r="E137" s="1">
        <v>88</v>
      </c>
      <c r="F137" s="1" t="s">
        <v>19</v>
      </c>
      <c r="G137" s="1">
        <v>6</v>
      </c>
      <c r="H137" s="1">
        <v>1988</v>
      </c>
    </row>
    <row r="138" spans="1:8" hidden="1">
      <c r="A138" s="1">
        <v>4931</v>
      </c>
      <c r="B138" s="1" t="s">
        <v>2</v>
      </c>
      <c r="C138" s="1">
        <v>44</v>
      </c>
      <c r="D138" s="6">
        <v>73</v>
      </c>
      <c r="E138" s="1">
        <v>7</v>
      </c>
      <c r="F138" s="1" t="s">
        <v>15</v>
      </c>
      <c r="G138" s="1">
        <v>5</v>
      </c>
      <c r="H138" s="1">
        <v>2026</v>
      </c>
    </row>
    <row r="139" spans="1:8">
      <c r="A139" s="1">
        <v>4930</v>
      </c>
      <c r="B139" s="1" t="s">
        <v>1</v>
      </c>
      <c r="C139" s="1">
        <v>32</v>
      </c>
      <c r="D139" s="6">
        <v>73</v>
      </c>
      <c r="E139" s="1">
        <v>73</v>
      </c>
      <c r="F139" s="1" t="s">
        <v>14</v>
      </c>
      <c r="G139" s="1">
        <v>3</v>
      </c>
      <c r="H139" s="1">
        <v>1998</v>
      </c>
    </row>
    <row r="140" spans="1:8">
      <c r="A140" s="1">
        <v>1190</v>
      </c>
      <c r="B140" s="1" t="s">
        <v>1</v>
      </c>
      <c r="C140" s="1">
        <v>19</v>
      </c>
      <c r="D140" s="6">
        <v>74</v>
      </c>
      <c r="E140" s="1">
        <v>10</v>
      </c>
      <c r="F140" s="1" t="s">
        <v>14</v>
      </c>
      <c r="G140" s="1">
        <v>6</v>
      </c>
      <c r="H140" s="1">
        <v>2000</v>
      </c>
    </row>
    <row r="141" spans="1:8" hidden="1">
      <c r="A141" s="1">
        <v>1689</v>
      </c>
      <c r="B141" s="1" t="s">
        <v>2</v>
      </c>
      <c r="C141" s="1">
        <v>35</v>
      </c>
      <c r="D141" s="6">
        <v>74</v>
      </c>
      <c r="E141" s="1">
        <v>72</v>
      </c>
      <c r="F141" s="1" t="s">
        <v>17</v>
      </c>
      <c r="G141" s="1">
        <v>8</v>
      </c>
      <c r="H141" s="1">
        <v>2000</v>
      </c>
    </row>
    <row r="142" spans="1:8" hidden="1">
      <c r="A142" s="1">
        <v>4385</v>
      </c>
      <c r="B142" s="1" t="s">
        <v>2</v>
      </c>
      <c r="C142" s="1">
        <v>57</v>
      </c>
      <c r="D142" s="6">
        <v>75</v>
      </c>
      <c r="E142" s="1">
        <v>5</v>
      </c>
      <c r="F142" s="1" t="s">
        <v>17</v>
      </c>
      <c r="G142" s="1">
        <v>6</v>
      </c>
      <c r="H142" s="1">
        <v>2008</v>
      </c>
    </row>
    <row r="143" spans="1:8" hidden="1">
      <c r="A143" s="1">
        <v>4294</v>
      </c>
      <c r="B143" s="1" t="s">
        <v>1</v>
      </c>
      <c r="C143" s="1">
        <v>32</v>
      </c>
      <c r="D143" s="6">
        <v>75</v>
      </c>
      <c r="E143" s="1">
        <v>93</v>
      </c>
      <c r="F143" s="1" t="s">
        <v>18</v>
      </c>
      <c r="G143" s="1">
        <v>9</v>
      </c>
      <c r="H143" s="1">
        <v>2013</v>
      </c>
    </row>
    <row r="144" spans="1:8" hidden="1">
      <c r="A144" s="1">
        <v>848</v>
      </c>
      <c r="B144" s="1" t="s">
        <v>2</v>
      </c>
      <c r="C144" s="1">
        <v>28</v>
      </c>
      <c r="D144" s="6">
        <v>76</v>
      </c>
      <c r="E144" s="1">
        <v>40</v>
      </c>
      <c r="F144" s="1" t="s">
        <v>17</v>
      </c>
      <c r="G144" s="1">
        <v>3</v>
      </c>
      <c r="H144" s="1">
        <v>2012</v>
      </c>
    </row>
    <row r="145" spans="1:8" hidden="1">
      <c r="A145" s="1">
        <v>2614</v>
      </c>
      <c r="B145" s="1" t="s">
        <v>2</v>
      </c>
      <c r="C145" s="1">
        <v>32</v>
      </c>
      <c r="D145" s="6">
        <v>76</v>
      </c>
      <c r="E145" s="1">
        <v>87</v>
      </c>
      <c r="F145" s="1" t="s">
        <v>19</v>
      </c>
      <c r="G145" s="1">
        <v>4</v>
      </c>
      <c r="H145" s="1">
        <v>1989</v>
      </c>
    </row>
    <row r="146" spans="1:8" hidden="1">
      <c r="A146" s="1">
        <v>3645</v>
      </c>
      <c r="B146" s="1" t="s">
        <v>1</v>
      </c>
      <c r="C146" s="1">
        <v>25</v>
      </c>
      <c r="D146" s="6">
        <v>77</v>
      </c>
      <c r="E146" s="1">
        <v>12</v>
      </c>
      <c r="F146" s="1" t="s">
        <v>15</v>
      </c>
      <c r="G146" s="1">
        <v>2</v>
      </c>
      <c r="H146" s="1">
        <v>2015</v>
      </c>
    </row>
    <row r="147" spans="1:8" hidden="1">
      <c r="A147" s="1">
        <v>4241</v>
      </c>
      <c r="B147" s="1" t="s">
        <v>1</v>
      </c>
      <c r="C147" s="1">
        <v>28</v>
      </c>
      <c r="D147" s="6">
        <v>77</v>
      </c>
      <c r="E147" s="1">
        <v>97</v>
      </c>
      <c r="F147" s="1" t="s">
        <v>15</v>
      </c>
      <c r="G147" s="1">
        <v>6</v>
      </c>
      <c r="H147" s="1">
        <v>2025</v>
      </c>
    </row>
    <row r="148" spans="1:8" hidden="1">
      <c r="A148" s="1">
        <v>3111</v>
      </c>
      <c r="B148" s="1" t="s">
        <v>1</v>
      </c>
      <c r="C148" s="1">
        <v>48</v>
      </c>
      <c r="D148" s="6">
        <v>77</v>
      </c>
      <c r="E148" s="1">
        <v>36</v>
      </c>
      <c r="F148" s="1" t="s">
        <v>20</v>
      </c>
      <c r="G148" s="1">
        <v>10</v>
      </c>
      <c r="H148" s="1">
        <v>2018</v>
      </c>
    </row>
    <row r="149" spans="1:8" hidden="1">
      <c r="A149" s="1">
        <v>58</v>
      </c>
      <c r="B149" s="1" t="s">
        <v>2</v>
      </c>
      <c r="C149" s="1">
        <v>32</v>
      </c>
      <c r="D149" s="6">
        <v>77</v>
      </c>
      <c r="E149" s="1">
        <v>74</v>
      </c>
      <c r="F149" s="1" t="s">
        <v>18</v>
      </c>
      <c r="G149" s="1">
        <v>2</v>
      </c>
      <c r="H149" s="1">
        <v>2001</v>
      </c>
    </row>
    <row r="150" spans="1:8" hidden="1">
      <c r="A150" s="1">
        <v>4502</v>
      </c>
      <c r="B150" s="1" t="s">
        <v>2</v>
      </c>
      <c r="C150" s="1">
        <v>34</v>
      </c>
      <c r="D150" s="6">
        <v>78</v>
      </c>
      <c r="E150" s="1">
        <v>22</v>
      </c>
      <c r="F150" s="1" t="s">
        <v>20</v>
      </c>
      <c r="G150" s="1">
        <v>3</v>
      </c>
      <c r="H150" s="1">
        <v>2021</v>
      </c>
    </row>
    <row r="151" spans="1:8" hidden="1">
      <c r="A151" s="1">
        <v>3069</v>
      </c>
      <c r="B151" s="1" t="s">
        <v>1</v>
      </c>
      <c r="C151" s="1">
        <v>34</v>
      </c>
      <c r="D151" s="6">
        <v>78</v>
      </c>
      <c r="E151" s="1">
        <v>90</v>
      </c>
      <c r="F151" s="1" t="s">
        <v>20</v>
      </c>
      <c r="G151" s="1">
        <v>2</v>
      </c>
      <c r="H151" s="1">
        <v>1985</v>
      </c>
    </row>
    <row r="152" spans="1:8" hidden="1">
      <c r="A152" s="1">
        <v>1916</v>
      </c>
      <c r="B152" s="1" t="s">
        <v>1</v>
      </c>
      <c r="C152" s="1">
        <v>43</v>
      </c>
      <c r="D152" s="6">
        <v>78</v>
      </c>
      <c r="E152" s="1">
        <v>17</v>
      </c>
      <c r="F152" s="1" t="s">
        <v>16</v>
      </c>
      <c r="G152" s="1">
        <v>8</v>
      </c>
      <c r="H152" s="1">
        <v>2020</v>
      </c>
    </row>
    <row r="153" spans="1:8">
      <c r="A153" s="1">
        <v>3256</v>
      </c>
      <c r="B153" s="1" t="s">
        <v>1</v>
      </c>
      <c r="C153" s="1">
        <v>39</v>
      </c>
      <c r="D153" s="6">
        <v>78</v>
      </c>
      <c r="E153" s="1">
        <v>88</v>
      </c>
      <c r="F153" s="1" t="s">
        <v>14</v>
      </c>
      <c r="G153" s="1">
        <v>8</v>
      </c>
      <c r="H153" s="1">
        <v>2013</v>
      </c>
    </row>
    <row r="154" spans="1:8" hidden="1">
      <c r="A154" s="1">
        <v>3542</v>
      </c>
      <c r="B154" s="1" t="s">
        <v>2</v>
      </c>
      <c r="C154" s="1">
        <v>44</v>
      </c>
      <c r="D154" s="6">
        <v>78</v>
      </c>
      <c r="E154" s="1">
        <v>20</v>
      </c>
      <c r="F154" s="1" t="s">
        <v>17</v>
      </c>
      <c r="G154" s="1">
        <v>1</v>
      </c>
      <c r="H154" s="1">
        <v>1992</v>
      </c>
    </row>
    <row r="155" spans="1:8">
      <c r="A155" s="1">
        <v>4687</v>
      </c>
      <c r="B155" s="1" t="s">
        <v>2</v>
      </c>
      <c r="C155" s="1">
        <v>38</v>
      </c>
      <c r="D155" s="6">
        <v>78</v>
      </c>
      <c r="E155" s="1">
        <v>76</v>
      </c>
      <c r="F155" s="1" t="s">
        <v>14</v>
      </c>
      <c r="G155" s="1">
        <v>10</v>
      </c>
      <c r="H155" s="1">
        <v>1994</v>
      </c>
    </row>
    <row r="156" spans="1:8" hidden="1">
      <c r="A156" s="1">
        <v>769</v>
      </c>
      <c r="B156" s="1" t="s">
        <v>2</v>
      </c>
      <c r="C156" s="1">
        <v>47</v>
      </c>
      <c r="D156" s="6">
        <v>78</v>
      </c>
      <c r="E156" s="1">
        <v>16</v>
      </c>
      <c r="F156" s="1" t="s">
        <v>18</v>
      </c>
      <c r="G156" s="1">
        <v>9</v>
      </c>
      <c r="H156" s="1">
        <v>2010</v>
      </c>
    </row>
    <row r="157" spans="1:8" hidden="1">
      <c r="A157" s="1">
        <v>4712</v>
      </c>
      <c r="B157" s="1" t="s">
        <v>2</v>
      </c>
      <c r="C157" s="1">
        <v>27</v>
      </c>
      <c r="D157" s="6">
        <v>78</v>
      </c>
      <c r="E157" s="1">
        <v>89</v>
      </c>
      <c r="F157" s="1" t="s">
        <v>16</v>
      </c>
      <c r="G157" s="1">
        <v>7</v>
      </c>
      <c r="H157" s="1">
        <v>2016</v>
      </c>
    </row>
    <row r="158" spans="1:8" hidden="1">
      <c r="A158" s="1">
        <v>1519</v>
      </c>
      <c r="B158" s="1" t="s">
        <v>1</v>
      </c>
      <c r="C158" s="1">
        <v>37</v>
      </c>
      <c r="D158" s="6">
        <v>78</v>
      </c>
      <c r="E158" s="1">
        <v>1</v>
      </c>
      <c r="F158" s="1" t="s">
        <v>18</v>
      </c>
      <c r="G158" s="1">
        <v>3</v>
      </c>
      <c r="H158" s="1">
        <v>1991</v>
      </c>
    </row>
    <row r="159" spans="1:8" hidden="1">
      <c r="A159" s="1">
        <v>247</v>
      </c>
      <c r="B159" s="1" t="s">
        <v>2</v>
      </c>
      <c r="C159" s="1">
        <v>30</v>
      </c>
      <c r="D159" s="6">
        <v>78</v>
      </c>
      <c r="E159" s="1">
        <v>78</v>
      </c>
      <c r="F159" s="1" t="s">
        <v>16</v>
      </c>
      <c r="G159" s="1">
        <v>5</v>
      </c>
      <c r="H159" s="1">
        <v>2026</v>
      </c>
    </row>
    <row r="160" spans="1:8" hidden="1">
      <c r="A160" s="1">
        <v>2090</v>
      </c>
      <c r="B160" s="1" t="s">
        <v>1</v>
      </c>
      <c r="C160" s="1">
        <v>34</v>
      </c>
      <c r="D160" s="6">
        <v>78</v>
      </c>
      <c r="E160" s="1">
        <v>1</v>
      </c>
      <c r="F160" s="1" t="s">
        <v>15</v>
      </c>
      <c r="G160" s="1">
        <v>10</v>
      </c>
      <c r="H160" s="1">
        <v>2006</v>
      </c>
    </row>
    <row r="161" spans="1:8" hidden="1">
      <c r="A161" s="1">
        <v>982</v>
      </c>
      <c r="B161" s="1" t="s">
        <v>2</v>
      </c>
      <c r="C161" s="1">
        <v>30</v>
      </c>
      <c r="D161" s="6">
        <v>78</v>
      </c>
      <c r="E161" s="1">
        <v>73</v>
      </c>
      <c r="F161" s="1" t="s">
        <v>15</v>
      </c>
      <c r="G161" s="1">
        <v>6</v>
      </c>
      <c r="H161" s="1">
        <v>1996</v>
      </c>
    </row>
    <row r="162" spans="1:8">
      <c r="A162" s="1">
        <v>2469</v>
      </c>
      <c r="B162" s="1" t="s">
        <v>2</v>
      </c>
      <c r="C162" s="1">
        <v>56</v>
      </c>
      <c r="D162" s="6">
        <v>79</v>
      </c>
      <c r="E162" s="1">
        <v>35</v>
      </c>
      <c r="F162" s="1" t="s">
        <v>14</v>
      </c>
      <c r="G162" s="1">
        <v>2</v>
      </c>
      <c r="H162" s="1">
        <v>1985</v>
      </c>
    </row>
    <row r="163" spans="1:8" hidden="1">
      <c r="A163" s="1">
        <v>4527</v>
      </c>
      <c r="B163" s="1" t="s">
        <v>2</v>
      </c>
      <c r="C163" s="1">
        <v>29</v>
      </c>
      <c r="D163" s="6">
        <v>79</v>
      </c>
      <c r="E163" s="1">
        <v>83</v>
      </c>
      <c r="F163" s="1" t="s">
        <v>20</v>
      </c>
      <c r="G163" s="1">
        <v>10</v>
      </c>
      <c r="H163" s="1">
        <v>1992</v>
      </c>
    </row>
    <row r="164" spans="1:8">
      <c r="A164" s="1">
        <v>4080</v>
      </c>
      <c r="B164" s="1" t="s">
        <v>1</v>
      </c>
      <c r="C164" s="1">
        <v>19</v>
      </c>
      <c r="D164" s="6">
        <v>81</v>
      </c>
      <c r="E164" s="1">
        <v>5</v>
      </c>
      <c r="F164" s="1" t="s">
        <v>14</v>
      </c>
      <c r="G164" s="1">
        <v>2</v>
      </c>
      <c r="H164" s="1">
        <v>2009</v>
      </c>
    </row>
    <row r="165" spans="1:8" hidden="1">
      <c r="A165" s="1">
        <v>800</v>
      </c>
      <c r="B165" s="1" t="s">
        <v>2</v>
      </c>
      <c r="C165" s="1">
        <v>31</v>
      </c>
      <c r="D165" s="6">
        <v>81</v>
      </c>
      <c r="E165" s="1">
        <v>93</v>
      </c>
      <c r="F165" s="1" t="s">
        <v>20</v>
      </c>
      <c r="G165" s="1">
        <v>10</v>
      </c>
      <c r="H165" s="1">
        <v>2012</v>
      </c>
    </row>
    <row r="166" spans="1:8" hidden="1">
      <c r="A166" s="1">
        <v>3795</v>
      </c>
      <c r="B166" s="1" t="s">
        <v>1</v>
      </c>
      <c r="C166" s="1">
        <v>50</v>
      </c>
      <c r="D166" s="6">
        <v>85</v>
      </c>
      <c r="E166" s="1">
        <v>26</v>
      </c>
      <c r="F166" s="1" t="s">
        <v>15</v>
      </c>
      <c r="G166" s="1">
        <v>8</v>
      </c>
      <c r="H166" s="1">
        <v>1990</v>
      </c>
    </row>
    <row r="167" spans="1:8" hidden="1">
      <c r="A167" s="1">
        <v>2053</v>
      </c>
      <c r="B167" s="1" t="s">
        <v>2</v>
      </c>
      <c r="C167" s="1">
        <v>36</v>
      </c>
      <c r="D167" s="6">
        <v>85</v>
      </c>
      <c r="E167" s="1">
        <v>75</v>
      </c>
      <c r="F167" s="1" t="s">
        <v>20</v>
      </c>
      <c r="G167" s="1">
        <v>6</v>
      </c>
      <c r="H167" s="1">
        <v>2010</v>
      </c>
    </row>
    <row r="168" spans="1:8">
      <c r="A168" s="1">
        <v>2828</v>
      </c>
      <c r="B168" s="1" t="s">
        <v>1</v>
      </c>
      <c r="C168" s="1">
        <v>42</v>
      </c>
      <c r="D168" s="6">
        <v>86</v>
      </c>
      <c r="E168" s="1">
        <v>20</v>
      </c>
      <c r="F168" s="1" t="s">
        <v>14</v>
      </c>
      <c r="G168" s="1">
        <v>10</v>
      </c>
      <c r="H168" s="1">
        <v>2026</v>
      </c>
    </row>
    <row r="169" spans="1:8" hidden="1">
      <c r="A169" s="1">
        <v>2281</v>
      </c>
      <c r="B169" s="1" t="s">
        <v>2</v>
      </c>
      <c r="C169" s="1">
        <v>33</v>
      </c>
      <c r="D169" s="6">
        <v>86</v>
      </c>
      <c r="E169" s="1">
        <v>95</v>
      </c>
      <c r="F169" s="1" t="s">
        <v>20</v>
      </c>
      <c r="G169" s="1">
        <v>6</v>
      </c>
      <c r="H169" s="1">
        <v>2000</v>
      </c>
    </row>
    <row r="170" spans="1:8" hidden="1">
      <c r="A170" s="1">
        <v>4106</v>
      </c>
      <c r="B170" s="1" t="s">
        <v>2</v>
      </c>
      <c r="C170" s="1">
        <v>36</v>
      </c>
      <c r="D170" s="6">
        <v>87</v>
      </c>
      <c r="E170" s="1">
        <v>27</v>
      </c>
      <c r="F170" s="1" t="s">
        <v>20</v>
      </c>
      <c r="G170" s="1">
        <v>8</v>
      </c>
      <c r="H170" s="1">
        <v>1994</v>
      </c>
    </row>
    <row r="171" spans="1:8" hidden="1">
      <c r="A171" s="1">
        <v>3675</v>
      </c>
      <c r="B171" s="1" t="s">
        <v>1</v>
      </c>
      <c r="C171" s="1">
        <v>32</v>
      </c>
      <c r="D171" s="6">
        <v>87</v>
      </c>
      <c r="E171" s="1">
        <v>63</v>
      </c>
      <c r="F171" s="1" t="s">
        <v>19</v>
      </c>
      <c r="G171" s="1">
        <v>8</v>
      </c>
      <c r="H171" s="1">
        <v>2006</v>
      </c>
    </row>
    <row r="172" spans="1:8" hidden="1">
      <c r="A172" s="1">
        <v>3140</v>
      </c>
      <c r="B172" s="1" t="s">
        <v>1</v>
      </c>
      <c r="C172" s="1">
        <v>40</v>
      </c>
      <c r="D172" s="6">
        <v>87</v>
      </c>
      <c r="E172" s="1">
        <v>13</v>
      </c>
      <c r="F172" s="1" t="s">
        <v>17</v>
      </c>
      <c r="G172" s="1">
        <v>1</v>
      </c>
      <c r="H172" s="1">
        <v>2024</v>
      </c>
    </row>
    <row r="173" spans="1:8" hidden="1">
      <c r="A173" s="1">
        <v>96</v>
      </c>
      <c r="B173" s="1" t="s">
        <v>1</v>
      </c>
      <c r="C173" s="1">
        <v>28</v>
      </c>
      <c r="D173" s="6">
        <v>87</v>
      </c>
      <c r="E173" s="1">
        <v>75</v>
      </c>
      <c r="F173" s="1" t="s">
        <v>19</v>
      </c>
      <c r="G173" s="1">
        <v>6</v>
      </c>
      <c r="H173" s="1">
        <v>2005</v>
      </c>
    </row>
    <row r="174" spans="1:8" hidden="1">
      <c r="A174" s="1">
        <v>578</v>
      </c>
      <c r="B174" s="1" t="s">
        <v>1</v>
      </c>
      <c r="C174" s="1">
        <v>36</v>
      </c>
      <c r="D174" s="6">
        <v>87</v>
      </c>
      <c r="E174" s="1">
        <v>10</v>
      </c>
      <c r="F174" s="1" t="s">
        <v>16</v>
      </c>
      <c r="G174" s="1">
        <v>7</v>
      </c>
      <c r="H174" s="1">
        <v>1987</v>
      </c>
    </row>
    <row r="175" spans="1:8">
      <c r="A175" s="1">
        <v>1465</v>
      </c>
      <c r="B175" s="1" t="s">
        <v>1</v>
      </c>
      <c r="C175" s="1">
        <v>36</v>
      </c>
      <c r="D175" s="6">
        <v>87</v>
      </c>
      <c r="E175" s="1">
        <v>92</v>
      </c>
      <c r="F175" s="1" t="s">
        <v>14</v>
      </c>
      <c r="G175" s="1">
        <v>10</v>
      </c>
      <c r="H175" s="1">
        <v>2002</v>
      </c>
    </row>
    <row r="176" spans="1:8" hidden="1">
      <c r="A176" s="1">
        <v>3824</v>
      </c>
      <c r="B176" s="1" t="s">
        <v>2</v>
      </c>
      <c r="C176" s="1">
        <v>52</v>
      </c>
      <c r="D176" s="6">
        <v>88</v>
      </c>
      <c r="E176" s="1">
        <v>13</v>
      </c>
      <c r="F176" s="1" t="s">
        <v>17</v>
      </c>
      <c r="G176" s="1">
        <v>7</v>
      </c>
      <c r="H176" s="1">
        <v>2026</v>
      </c>
    </row>
    <row r="177" spans="1:8" hidden="1">
      <c r="A177" s="1">
        <v>4684</v>
      </c>
      <c r="B177" s="1" t="s">
        <v>2</v>
      </c>
      <c r="C177" s="1">
        <v>30</v>
      </c>
      <c r="D177" s="6">
        <v>88</v>
      </c>
      <c r="E177" s="1">
        <v>86</v>
      </c>
      <c r="F177" s="1" t="s">
        <v>18</v>
      </c>
      <c r="G177" s="1">
        <v>9</v>
      </c>
      <c r="H177" s="1">
        <v>2007</v>
      </c>
    </row>
    <row r="178" spans="1:8">
      <c r="A178" s="1">
        <v>552</v>
      </c>
      <c r="B178" s="1" t="s">
        <v>1</v>
      </c>
      <c r="C178" s="1">
        <v>58</v>
      </c>
      <c r="D178" s="6">
        <v>88</v>
      </c>
      <c r="E178" s="1">
        <v>15</v>
      </c>
      <c r="F178" s="1" t="s">
        <v>14</v>
      </c>
      <c r="G178" s="1">
        <v>9</v>
      </c>
      <c r="H178" s="1">
        <v>2003</v>
      </c>
    </row>
    <row r="179" spans="1:8" hidden="1">
      <c r="A179" s="1">
        <v>531</v>
      </c>
      <c r="B179" s="1" t="s">
        <v>1</v>
      </c>
      <c r="C179" s="1">
        <v>27</v>
      </c>
      <c r="D179" s="6">
        <v>88</v>
      </c>
      <c r="E179" s="1">
        <v>69</v>
      </c>
      <c r="F179" s="1" t="s">
        <v>16</v>
      </c>
      <c r="G179" s="1">
        <v>7</v>
      </c>
      <c r="H179" s="1">
        <v>2001</v>
      </c>
    </row>
    <row r="180" spans="1:8" hidden="1">
      <c r="A180" s="1">
        <v>844</v>
      </c>
      <c r="B180" s="1" t="s">
        <v>1</v>
      </c>
      <c r="C180" s="1">
        <v>59</v>
      </c>
      <c r="D180" s="6">
        <v>93</v>
      </c>
      <c r="E180" s="1">
        <v>14</v>
      </c>
      <c r="F180" s="1" t="s">
        <v>17</v>
      </c>
      <c r="G180" s="1">
        <v>7</v>
      </c>
      <c r="H180" s="1">
        <v>2003</v>
      </c>
    </row>
    <row r="181" spans="1:8" hidden="1">
      <c r="A181" s="1">
        <v>4398</v>
      </c>
      <c r="B181" s="1" t="s">
        <v>1</v>
      </c>
      <c r="C181" s="1">
        <v>35</v>
      </c>
      <c r="D181" s="6">
        <v>93</v>
      </c>
      <c r="E181" s="1">
        <v>90</v>
      </c>
      <c r="F181" s="1" t="s">
        <v>20</v>
      </c>
      <c r="G181" s="1">
        <v>3</v>
      </c>
      <c r="H181" s="1">
        <v>1986</v>
      </c>
    </row>
    <row r="182" spans="1:8">
      <c r="A182" s="1">
        <v>3925</v>
      </c>
      <c r="B182" s="1" t="s">
        <v>2</v>
      </c>
      <c r="C182" s="1">
        <v>37</v>
      </c>
      <c r="D182" s="6">
        <v>97</v>
      </c>
      <c r="E182" s="1">
        <v>32</v>
      </c>
      <c r="F182" s="1" t="s">
        <v>14</v>
      </c>
      <c r="G182" s="1">
        <v>7</v>
      </c>
      <c r="H182" s="1">
        <v>2006</v>
      </c>
    </row>
    <row r="183" spans="1:8" hidden="1">
      <c r="A183" s="1">
        <v>612</v>
      </c>
      <c r="B183" s="1" t="s">
        <v>2</v>
      </c>
      <c r="C183" s="1">
        <v>32</v>
      </c>
      <c r="D183" s="6">
        <v>97</v>
      </c>
      <c r="E183" s="1">
        <v>86</v>
      </c>
      <c r="F183" s="1" t="s">
        <v>17</v>
      </c>
      <c r="G183" s="1">
        <v>1</v>
      </c>
      <c r="H183" s="1">
        <v>1998</v>
      </c>
    </row>
    <row r="184" spans="1:8" hidden="1">
      <c r="A184" s="1">
        <v>2837</v>
      </c>
      <c r="B184" s="1" t="s">
        <v>1</v>
      </c>
      <c r="C184" s="1">
        <v>46</v>
      </c>
      <c r="D184" s="6">
        <v>98</v>
      </c>
      <c r="E184" s="1">
        <v>15</v>
      </c>
      <c r="F184" s="1" t="s">
        <v>20</v>
      </c>
      <c r="G184" s="1">
        <v>1</v>
      </c>
      <c r="H184" s="1">
        <v>2010</v>
      </c>
    </row>
    <row r="185" spans="1:8" hidden="1">
      <c r="A185" s="1">
        <v>4348</v>
      </c>
      <c r="B185" s="1" t="s">
        <v>2</v>
      </c>
      <c r="C185" s="1">
        <v>29</v>
      </c>
      <c r="D185" s="6">
        <v>98</v>
      </c>
      <c r="E185" s="1">
        <v>88</v>
      </c>
      <c r="F185" s="1" t="s">
        <v>20</v>
      </c>
      <c r="G185" s="1">
        <v>7</v>
      </c>
      <c r="H185" s="1">
        <v>2010</v>
      </c>
    </row>
    <row r="186" spans="1:8" hidden="1">
      <c r="A186" s="1">
        <v>1865</v>
      </c>
      <c r="B186" s="1" t="s">
        <v>2</v>
      </c>
      <c r="C186" s="1">
        <v>41</v>
      </c>
      <c r="D186" s="6">
        <v>99</v>
      </c>
      <c r="E186" s="1">
        <v>39</v>
      </c>
      <c r="F186" s="1" t="s">
        <v>19</v>
      </c>
      <c r="G186" s="1">
        <v>8</v>
      </c>
      <c r="H186" s="1">
        <v>2016</v>
      </c>
    </row>
    <row r="187" spans="1:8" hidden="1">
      <c r="A187" s="1">
        <v>4379</v>
      </c>
      <c r="B187" s="1" t="s">
        <v>1</v>
      </c>
      <c r="C187" s="1">
        <v>30</v>
      </c>
      <c r="D187" s="6">
        <v>99</v>
      </c>
      <c r="E187" s="1">
        <v>97</v>
      </c>
      <c r="F187" s="1" t="s">
        <v>18</v>
      </c>
      <c r="G187" s="1">
        <v>1</v>
      </c>
      <c r="H187" s="1">
        <v>2006</v>
      </c>
    </row>
    <row r="188" spans="1:8">
      <c r="A188" s="1">
        <v>3784</v>
      </c>
      <c r="B188" s="1" t="s">
        <v>2</v>
      </c>
      <c r="C188" s="1">
        <v>54</v>
      </c>
      <c r="D188" s="6">
        <v>101</v>
      </c>
      <c r="E188" s="1">
        <v>24</v>
      </c>
      <c r="F188" s="1" t="s">
        <v>14</v>
      </c>
      <c r="G188" s="1">
        <v>7</v>
      </c>
      <c r="H188" s="1">
        <v>1995</v>
      </c>
    </row>
    <row r="189" spans="1:8" hidden="1">
      <c r="A189" s="1">
        <v>3707</v>
      </c>
      <c r="B189" s="1" t="s">
        <v>1</v>
      </c>
      <c r="C189" s="1">
        <v>28</v>
      </c>
      <c r="D189" s="6">
        <v>101</v>
      </c>
      <c r="E189" s="1">
        <v>68</v>
      </c>
      <c r="F189" s="1" t="s">
        <v>17</v>
      </c>
      <c r="G189" s="1">
        <v>2</v>
      </c>
      <c r="H189" s="1">
        <v>2004</v>
      </c>
    </row>
    <row r="190" spans="1:8" hidden="1">
      <c r="A190" s="1">
        <v>1466</v>
      </c>
      <c r="B190" s="1" t="s">
        <v>2</v>
      </c>
      <c r="C190" s="1">
        <v>41</v>
      </c>
      <c r="D190" s="6">
        <v>103</v>
      </c>
      <c r="E190" s="1">
        <v>17</v>
      </c>
      <c r="F190" s="1" t="s">
        <v>15</v>
      </c>
      <c r="G190" s="1">
        <v>8</v>
      </c>
      <c r="H190" s="1">
        <v>2009</v>
      </c>
    </row>
    <row r="191" spans="1:8" hidden="1">
      <c r="A191" s="1">
        <v>1995</v>
      </c>
      <c r="B191" s="1" t="s">
        <v>2</v>
      </c>
      <c r="C191" s="1">
        <v>36</v>
      </c>
      <c r="D191" s="6">
        <v>103</v>
      </c>
      <c r="E191" s="1">
        <v>85</v>
      </c>
      <c r="F191" s="1" t="s">
        <v>19</v>
      </c>
      <c r="G191" s="1">
        <v>6</v>
      </c>
      <c r="H191" s="1">
        <v>1994</v>
      </c>
    </row>
    <row r="192" spans="1:8" hidden="1">
      <c r="A192" s="1">
        <v>4877</v>
      </c>
      <c r="B192" s="1" t="s">
        <v>2</v>
      </c>
      <c r="C192" s="1">
        <v>34</v>
      </c>
      <c r="D192" s="6">
        <v>103</v>
      </c>
      <c r="E192" s="1">
        <v>23</v>
      </c>
      <c r="F192" s="1" t="s">
        <v>20</v>
      </c>
      <c r="G192" s="1">
        <v>3</v>
      </c>
      <c r="H192" s="1">
        <v>2017</v>
      </c>
    </row>
    <row r="193" spans="1:8" hidden="1">
      <c r="A193" s="1">
        <v>409</v>
      </c>
      <c r="B193" s="1" t="s">
        <v>2</v>
      </c>
      <c r="C193" s="1">
        <v>32</v>
      </c>
      <c r="D193" s="6">
        <v>103</v>
      </c>
      <c r="E193" s="1">
        <v>69</v>
      </c>
      <c r="F193" s="1" t="s">
        <v>20</v>
      </c>
      <c r="G193" s="1">
        <v>3</v>
      </c>
      <c r="H193" s="1">
        <v>2001</v>
      </c>
    </row>
    <row r="194" spans="1:8" hidden="1">
      <c r="A194" s="1">
        <v>2380</v>
      </c>
      <c r="B194" s="1" t="s">
        <v>1</v>
      </c>
      <c r="C194" s="1">
        <v>33</v>
      </c>
      <c r="D194" s="6">
        <v>113</v>
      </c>
      <c r="E194" s="1">
        <v>8</v>
      </c>
      <c r="F194" s="1" t="s">
        <v>16</v>
      </c>
      <c r="G194" s="1">
        <v>2</v>
      </c>
      <c r="H194" s="1">
        <v>1995</v>
      </c>
    </row>
    <row r="195" spans="1:8" hidden="1">
      <c r="A195" s="1">
        <v>2718</v>
      </c>
      <c r="B195" s="1" t="s">
        <v>2</v>
      </c>
      <c r="C195" s="1">
        <v>38</v>
      </c>
      <c r="D195" s="6">
        <v>113</v>
      </c>
      <c r="E195" s="1">
        <v>91</v>
      </c>
      <c r="F195" s="1" t="s">
        <v>17</v>
      </c>
      <c r="G195" s="1">
        <v>4</v>
      </c>
      <c r="H195" s="1">
        <v>2024</v>
      </c>
    </row>
    <row r="196" spans="1:8" hidden="1">
      <c r="A196" s="1">
        <v>3100</v>
      </c>
      <c r="B196" s="1" t="s">
        <v>2</v>
      </c>
      <c r="C196" s="1">
        <v>47</v>
      </c>
      <c r="D196" s="6">
        <v>120</v>
      </c>
      <c r="E196" s="1">
        <v>16</v>
      </c>
      <c r="F196" s="1" t="s">
        <v>19</v>
      </c>
      <c r="G196" s="1">
        <v>4</v>
      </c>
      <c r="H196" s="1">
        <v>1989</v>
      </c>
    </row>
    <row r="197" spans="1:8" hidden="1">
      <c r="A197" s="1">
        <v>4675</v>
      </c>
      <c r="B197" s="1" t="s">
        <v>2</v>
      </c>
      <c r="C197" s="1">
        <v>35</v>
      </c>
      <c r="D197" s="6">
        <v>120</v>
      </c>
      <c r="E197" s="1">
        <v>79</v>
      </c>
      <c r="F197" s="1" t="s">
        <v>18</v>
      </c>
      <c r="G197" s="1">
        <v>7</v>
      </c>
      <c r="H197" s="1">
        <v>2002</v>
      </c>
    </row>
    <row r="198" spans="1:8" hidden="1">
      <c r="A198" s="1">
        <v>4304</v>
      </c>
      <c r="B198" s="1" t="s">
        <v>2</v>
      </c>
      <c r="C198" s="1">
        <v>45</v>
      </c>
      <c r="D198" s="6">
        <v>126</v>
      </c>
      <c r="E198" s="1">
        <v>28</v>
      </c>
      <c r="F198" s="1" t="s">
        <v>18</v>
      </c>
      <c r="G198" s="1">
        <v>1</v>
      </c>
      <c r="H198" s="1">
        <v>1993</v>
      </c>
    </row>
    <row r="199" spans="1:8" hidden="1">
      <c r="A199" s="1">
        <v>4124</v>
      </c>
      <c r="B199" s="1" t="s">
        <v>1</v>
      </c>
      <c r="C199" s="1">
        <v>32</v>
      </c>
      <c r="D199" s="6">
        <v>126</v>
      </c>
      <c r="E199" s="1">
        <v>74</v>
      </c>
      <c r="F199" s="1" t="s">
        <v>18</v>
      </c>
      <c r="G199" s="1">
        <v>4</v>
      </c>
      <c r="H199" s="1">
        <v>2002</v>
      </c>
    </row>
    <row r="200" spans="1:8" hidden="1">
      <c r="A200" s="1">
        <v>1833</v>
      </c>
      <c r="B200" s="1" t="s">
        <v>1</v>
      </c>
      <c r="C200" s="1">
        <v>32</v>
      </c>
      <c r="D200" s="6">
        <v>137</v>
      </c>
      <c r="E200" s="1">
        <v>18</v>
      </c>
      <c r="F200" s="1" t="s">
        <v>18</v>
      </c>
      <c r="G200" s="1">
        <v>4</v>
      </c>
      <c r="H200" s="1">
        <v>2026</v>
      </c>
    </row>
    <row r="201" spans="1:8" hidden="1">
      <c r="A201" s="1">
        <v>2290</v>
      </c>
      <c r="B201" s="1" t="s">
        <v>1</v>
      </c>
      <c r="C201" s="1">
        <v>30</v>
      </c>
      <c r="D201" s="6">
        <v>137</v>
      </c>
      <c r="E201" s="1">
        <v>83</v>
      </c>
      <c r="F201" s="1" t="s">
        <v>18</v>
      </c>
      <c r="G201" s="1">
        <v>2</v>
      </c>
      <c r="H201" s="1">
        <v>1989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E700-D78D-40B4-A4A3-3C5427E9E4F0}">
  <dimension ref="A1"/>
  <sheetViews>
    <sheetView showGridLines="0" tabSelected="1" topLeftCell="A30" workbookViewId="0">
      <selection activeCell="C18" sqref="C18"/>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AE8E-195D-4A19-BE11-62FA3EB4CE45}">
  <dimension ref="A5:F10"/>
  <sheetViews>
    <sheetView workbookViewId="0">
      <selection activeCell="E14" sqref="E14"/>
    </sheetView>
  </sheetViews>
  <sheetFormatPr defaultRowHeight="13.8"/>
  <cols>
    <col min="1" max="1" width="12.796875" bestFit="1" customWidth="1"/>
    <col min="2" max="2" width="14.59765625" bestFit="1" customWidth="1"/>
    <col min="3" max="3" width="28.19921875" bestFit="1" customWidth="1"/>
    <col min="4" max="4" width="31.69921875" bestFit="1" customWidth="1"/>
    <col min="5" max="5" width="19.3984375" bestFit="1" customWidth="1"/>
    <col min="6" max="6" width="30.796875" bestFit="1" customWidth="1"/>
  </cols>
  <sheetData>
    <row r="5" spans="1:6">
      <c r="A5" s="2"/>
      <c r="B5" t="s">
        <v>6</v>
      </c>
      <c r="C5" t="s">
        <v>8</v>
      </c>
      <c r="D5" t="s">
        <v>9</v>
      </c>
      <c r="E5" t="s">
        <v>10</v>
      </c>
      <c r="F5" t="s">
        <v>21</v>
      </c>
    </row>
    <row r="6" spans="1:6">
      <c r="B6" s="5">
        <v>38.85</v>
      </c>
      <c r="C6" s="5">
        <v>60.695</v>
      </c>
      <c r="D6" s="5">
        <v>50.2</v>
      </c>
      <c r="E6" s="8">
        <v>200</v>
      </c>
      <c r="F6" s="9">
        <v>5.3</v>
      </c>
    </row>
    <row r="9" spans="1:6">
      <c r="B9" s="7" t="s">
        <v>46</v>
      </c>
      <c r="C9" s="7" t="s">
        <v>47</v>
      </c>
      <c r="D9" s="7" t="s">
        <v>48</v>
      </c>
      <c r="E9" s="7" t="s">
        <v>49</v>
      </c>
      <c r="F9" s="7" t="s">
        <v>50</v>
      </c>
    </row>
    <row r="10" spans="1:6">
      <c r="B10">
        <f>GETPIVOTDATA("Count of CustomerID",$B$5)</f>
        <v>200</v>
      </c>
      <c r="C10" s="5">
        <f>GETPIVOTDATA("Average of Annual Income (k$)",$B$5)</f>
        <v>60.695</v>
      </c>
      <c r="D10" s="5">
        <f>GETPIVOTDATA("Average of Spending Score (1-100)",$B$5)</f>
        <v>50.2</v>
      </c>
      <c r="E10" s="5">
        <f>GETPIVOTDATA("Average of Age",$B$5)</f>
        <v>38.85</v>
      </c>
      <c r="F10" s="9">
        <f>GETPIVOTDATA("Average of Feedback rating (1-10)",$B$5)</f>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1843-7923-45EF-8CBD-61F661DB107B}">
  <dimension ref="A3:B6"/>
  <sheetViews>
    <sheetView workbookViewId="0">
      <selection activeCell="B25" sqref="B25"/>
    </sheetView>
  </sheetViews>
  <sheetFormatPr defaultRowHeight="13.8"/>
  <cols>
    <col min="1" max="1" width="13.09765625" bestFit="1" customWidth="1"/>
    <col min="2" max="2" width="31.69921875" bestFit="1" customWidth="1"/>
  </cols>
  <sheetData>
    <row r="3" spans="1:2">
      <c r="A3" s="3" t="s">
        <v>22</v>
      </c>
      <c r="B3" t="s">
        <v>9</v>
      </c>
    </row>
    <row r="4" spans="1:2">
      <c r="A4" s="4" t="s">
        <v>2</v>
      </c>
      <c r="B4" s="5">
        <v>51.526785714285715</v>
      </c>
    </row>
    <row r="5" spans="1:2">
      <c r="A5" s="4" t="s">
        <v>1</v>
      </c>
      <c r="B5" s="5">
        <v>48.511363636363633</v>
      </c>
    </row>
    <row r="6" spans="1:2">
      <c r="A6" s="4" t="s">
        <v>23</v>
      </c>
      <c r="B6" s="8">
        <v>50.2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694F-CF6A-4073-9420-B42F9D719F3C}">
  <dimension ref="A3:D6"/>
  <sheetViews>
    <sheetView workbookViewId="0">
      <selection activeCell="A6" sqref="A6"/>
    </sheetView>
  </sheetViews>
  <sheetFormatPr defaultRowHeight="13.8"/>
  <cols>
    <col min="1" max="1" width="25.69921875" bestFit="1" customWidth="1"/>
    <col min="2" max="2" width="16.09765625" bestFit="1" customWidth="1"/>
    <col min="3" max="3" width="5" bestFit="1" customWidth="1"/>
    <col min="4" max="4" width="11" bestFit="1" customWidth="1"/>
  </cols>
  <sheetData>
    <row r="3" spans="1:4">
      <c r="B3" s="3" t="s">
        <v>24</v>
      </c>
    </row>
    <row r="4" spans="1:4">
      <c r="A4" s="3" t="s">
        <v>25</v>
      </c>
      <c r="B4" t="s">
        <v>2</v>
      </c>
      <c r="C4" t="s">
        <v>1</v>
      </c>
      <c r="D4" t="s">
        <v>23</v>
      </c>
    </row>
    <row r="5" spans="1:4">
      <c r="A5" s="4" t="s">
        <v>8</v>
      </c>
      <c r="B5" s="5">
        <v>59.392857142857146</v>
      </c>
      <c r="C5" s="5">
        <v>62.352272727272727</v>
      </c>
      <c r="D5" s="5">
        <v>60.695</v>
      </c>
    </row>
    <row r="6" spans="1:4">
      <c r="A6" s="4" t="s">
        <v>53</v>
      </c>
      <c r="B6" s="5">
        <v>51.526785714285715</v>
      </c>
      <c r="C6" s="5">
        <v>48.511363636363633</v>
      </c>
      <c r="D6" s="5">
        <v>50.2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6907-3CFD-4721-9162-F553B6A2FCF2}">
  <dimension ref="A3:C25"/>
  <sheetViews>
    <sheetView workbookViewId="0">
      <selection activeCell="L25" sqref="L25"/>
    </sheetView>
  </sheetViews>
  <sheetFormatPr defaultRowHeight="13.8"/>
  <cols>
    <col min="1" max="1" width="13.09765625" bestFit="1" customWidth="1"/>
    <col min="2" max="2" width="24.69921875" bestFit="1" customWidth="1"/>
    <col min="3" max="3" width="19.796875" bestFit="1" customWidth="1"/>
    <col min="4" max="22" width="9.69921875" bestFit="1" customWidth="1"/>
    <col min="23" max="23" width="10.59765625" bestFit="1" customWidth="1"/>
  </cols>
  <sheetData>
    <row r="3" spans="1:3">
      <c r="A3" s="3" t="s">
        <v>22</v>
      </c>
      <c r="B3" t="s">
        <v>7</v>
      </c>
      <c r="C3" t="s">
        <v>55</v>
      </c>
    </row>
    <row r="4" spans="1:3">
      <c r="A4" s="4" t="s">
        <v>26</v>
      </c>
      <c r="B4" s="8">
        <v>525</v>
      </c>
      <c r="C4" s="8">
        <v>554</v>
      </c>
    </row>
    <row r="5" spans="1:3">
      <c r="A5" s="4" t="s">
        <v>27</v>
      </c>
      <c r="B5" s="8">
        <v>344</v>
      </c>
      <c r="C5" s="8">
        <v>319</v>
      </c>
    </row>
    <row r="6" spans="1:3">
      <c r="A6" s="4" t="s">
        <v>28</v>
      </c>
      <c r="B6" s="8">
        <v>788</v>
      </c>
      <c r="C6" s="8">
        <v>713</v>
      </c>
    </row>
    <row r="7" spans="1:3">
      <c r="A7" s="4" t="s">
        <v>29</v>
      </c>
      <c r="B7" s="8">
        <v>504</v>
      </c>
      <c r="C7" s="8">
        <v>403</v>
      </c>
    </row>
    <row r="8" spans="1:3">
      <c r="A8" s="4" t="s">
        <v>30</v>
      </c>
      <c r="B8" s="8">
        <v>820</v>
      </c>
      <c r="C8" s="8">
        <v>639</v>
      </c>
    </row>
    <row r="9" spans="1:3">
      <c r="A9" s="4" t="s">
        <v>31</v>
      </c>
      <c r="B9" s="8">
        <v>336</v>
      </c>
      <c r="C9" s="8">
        <v>155</v>
      </c>
    </row>
    <row r="10" spans="1:3">
      <c r="A10" s="4" t="s">
        <v>32</v>
      </c>
      <c r="B10" s="8">
        <v>654</v>
      </c>
      <c r="C10" s="8">
        <v>775</v>
      </c>
    </row>
    <row r="11" spans="1:3">
      <c r="A11" s="4" t="s">
        <v>33</v>
      </c>
      <c r="B11" s="8">
        <v>344</v>
      </c>
      <c r="C11" s="8">
        <v>291</v>
      </c>
    </row>
    <row r="12" spans="1:3">
      <c r="A12" s="4" t="s">
        <v>34</v>
      </c>
      <c r="B12" s="8">
        <v>949</v>
      </c>
      <c r="C12" s="8">
        <v>797</v>
      </c>
    </row>
    <row r="13" spans="1:3">
      <c r="A13" s="4" t="s">
        <v>35</v>
      </c>
      <c r="B13" s="8">
        <v>520</v>
      </c>
      <c r="C13" s="8">
        <v>377</v>
      </c>
    </row>
    <row r="14" spans="1:3">
      <c r="A14" s="4" t="s">
        <v>36</v>
      </c>
      <c r="B14" s="8">
        <v>695</v>
      </c>
      <c r="C14" s="8">
        <v>500</v>
      </c>
    </row>
    <row r="15" spans="1:3">
      <c r="A15" s="4" t="s">
        <v>51</v>
      </c>
      <c r="B15" s="8">
        <v>626</v>
      </c>
      <c r="C15" s="8">
        <v>538</v>
      </c>
    </row>
    <row r="16" spans="1:3">
      <c r="A16" s="4" t="s">
        <v>37</v>
      </c>
      <c r="B16" s="8">
        <v>948</v>
      </c>
      <c r="C16" s="8">
        <v>737</v>
      </c>
    </row>
    <row r="17" spans="1:3">
      <c r="A17" s="4" t="s">
        <v>38</v>
      </c>
      <c r="B17" s="8">
        <v>623</v>
      </c>
      <c r="C17" s="8">
        <v>554</v>
      </c>
    </row>
    <row r="18" spans="1:3">
      <c r="A18" s="4" t="s">
        <v>39</v>
      </c>
      <c r="B18" s="8">
        <v>515</v>
      </c>
      <c r="C18" s="8">
        <v>567</v>
      </c>
    </row>
    <row r="19" spans="1:3">
      <c r="A19" s="4" t="s">
        <v>40</v>
      </c>
      <c r="B19" s="8">
        <v>428</v>
      </c>
      <c r="C19" s="8">
        <v>243</v>
      </c>
    </row>
    <row r="20" spans="1:3">
      <c r="A20" s="4" t="s">
        <v>41</v>
      </c>
      <c r="B20" s="8">
        <v>425</v>
      </c>
      <c r="C20" s="8">
        <v>247</v>
      </c>
    </row>
    <row r="21" spans="1:3">
      <c r="A21" s="4" t="s">
        <v>42</v>
      </c>
      <c r="B21" s="8">
        <v>293</v>
      </c>
      <c r="C21" s="8">
        <v>254</v>
      </c>
    </row>
    <row r="22" spans="1:3">
      <c r="A22" s="4" t="s">
        <v>43</v>
      </c>
      <c r="B22" s="8">
        <v>278</v>
      </c>
      <c r="C22" s="8">
        <v>268</v>
      </c>
    </row>
    <row r="23" spans="1:3">
      <c r="A23" s="4" t="s">
        <v>44</v>
      </c>
      <c r="B23" s="8">
        <v>631</v>
      </c>
      <c r="C23" s="8">
        <v>519</v>
      </c>
    </row>
    <row r="24" spans="1:3">
      <c r="A24" s="4" t="s">
        <v>45</v>
      </c>
      <c r="B24" s="8">
        <v>893</v>
      </c>
      <c r="C24" s="8">
        <v>590</v>
      </c>
    </row>
    <row r="25" spans="1:3">
      <c r="A25" s="4" t="s">
        <v>23</v>
      </c>
      <c r="B25" s="8">
        <v>12139</v>
      </c>
      <c r="C25" s="8">
        <v>10040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BED9E-A052-4BC6-ABA1-37E0A10E9C1F}">
  <dimension ref="A3:D12"/>
  <sheetViews>
    <sheetView workbookViewId="0">
      <selection activeCell="B16" sqref="B16"/>
    </sheetView>
  </sheetViews>
  <sheetFormatPr defaultRowHeight="13.8"/>
  <cols>
    <col min="1" max="1" width="20.09765625" bestFit="1" customWidth="1"/>
    <col min="2" max="2" width="16.09765625" bestFit="1" customWidth="1"/>
    <col min="3" max="3" width="5" bestFit="1" customWidth="1"/>
    <col min="4" max="4" width="11" bestFit="1" customWidth="1"/>
  </cols>
  <sheetData>
    <row r="3" spans="1:4">
      <c r="A3" s="3" t="s">
        <v>54</v>
      </c>
      <c r="B3" s="3" t="s">
        <v>24</v>
      </c>
    </row>
    <row r="4" spans="1:4">
      <c r="A4" s="3" t="s">
        <v>22</v>
      </c>
      <c r="B4" t="s">
        <v>2</v>
      </c>
      <c r="C4" t="s">
        <v>1</v>
      </c>
      <c r="D4" t="s">
        <v>23</v>
      </c>
    </row>
    <row r="5" spans="1:4">
      <c r="A5" s="4" t="s">
        <v>14</v>
      </c>
      <c r="B5" s="8">
        <v>628</v>
      </c>
      <c r="C5" s="8">
        <v>868</v>
      </c>
      <c r="D5" s="8">
        <v>1496</v>
      </c>
    </row>
    <row r="6" spans="1:4">
      <c r="A6" s="4" t="s">
        <v>15</v>
      </c>
      <c r="B6" s="8">
        <v>482</v>
      </c>
      <c r="C6" s="8">
        <v>288</v>
      </c>
      <c r="D6" s="8">
        <v>770</v>
      </c>
    </row>
    <row r="7" spans="1:4">
      <c r="A7" s="4" t="s">
        <v>19</v>
      </c>
      <c r="B7" s="8">
        <v>1043</v>
      </c>
      <c r="C7" s="8">
        <v>462</v>
      </c>
      <c r="D7" s="8">
        <v>1505</v>
      </c>
    </row>
    <row r="8" spans="1:4">
      <c r="A8" s="4" t="s">
        <v>16</v>
      </c>
      <c r="B8" s="8">
        <v>613</v>
      </c>
      <c r="C8" s="8">
        <v>612</v>
      </c>
      <c r="D8" s="8">
        <v>1225</v>
      </c>
    </row>
    <row r="9" spans="1:4">
      <c r="A9" s="4" t="s">
        <v>20</v>
      </c>
      <c r="B9" s="8">
        <v>1175</v>
      </c>
      <c r="C9" s="8">
        <v>442</v>
      </c>
      <c r="D9" s="8">
        <v>1617</v>
      </c>
    </row>
    <row r="10" spans="1:4">
      <c r="A10" s="4" t="s">
        <v>18</v>
      </c>
      <c r="B10" s="8">
        <v>919</v>
      </c>
      <c r="C10" s="8">
        <v>757</v>
      </c>
      <c r="D10" s="8">
        <v>1676</v>
      </c>
    </row>
    <row r="11" spans="1:4">
      <c r="A11" s="4" t="s">
        <v>17</v>
      </c>
      <c r="B11" s="8">
        <v>911</v>
      </c>
      <c r="C11" s="8">
        <v>840</v>
      </c>
      <c r="D11" s="8">
        <v>1751</v>
      </c>
    </row>
    <row r="12" spans="1:4">
      <c r="A12" s="4" t="s">
        <v>23</v>
      </c>
      <c r="B12" s="8">
        <v>5771</v>
      </c>
      <c r="C12" s="8">
        <v>4269</v>
      </c>
      <c r="D12" s="8">
        <v>10040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E5DF-BFBF-4340-9AF5-B33FE2A5007D}">
  <dimension ref="A3:B11"/>
  <sheetViews>
    <sheetView workbookViewId="0">
      <selection activeCell="B7" sqref="B7"/>
    </sheetView>
  </sheetViews>
  <sheetFormatPr defaultRowHeight="13.8"/>
  <cols>
    <col min="1" max="1" width="13.09765625" bestFit="1" customWidth="1"/>
    <col min="2" max="2" width="19.3984375" bestFit="1" customWidth="1"/>
  </cols>
  <sheetData>
    <row r="3" spans="1:2">
      <c r="A3" s="3" t="s">
        <v>22</v>
      </c>
      <c r="B3" t="s">
        <v>10</v>
      </c>
    </row>
    <row r="4" spans="1:2">
      <c r="A4" s="4" t="s">
        <v>14</v>
      </c>
      <c r="B4" s="8">
        <v>31</v>
      </c>
    </row>
    <row r="5" spans="1:2">
      <c r="A5" s="4" t="s">
        <v>15</v>
      </c>
      <c r="B5" s="8">
        <v>18</v>
      </c>
    </row>
    <row r="6" spans="1:2">
      <c r="A6" s="4" t="s">
        <v>19</v>
      </c>
      <c r="B6" s="8">
        <v>29</v>
      </c>
    </row>
    <row r="7" spans="1:2">
      <c r="A7" s="4" t="s">
        <v>16</v>
      </c>
      <c r="B7" s="8">
        <v>25</v>
      </c>
    </row>
    <row r="8" spans="1:2">
      <c r="A8" s="4" t="s">
        <v>20</v>
      </c>
      <c r="B8" s="8">
        <v>32</v>
      </c>
    </row>
    <row r="9" spans="1:2">
      <c r="A9" s="4" t="s">
        <v>18</v>
      </c>
      <c r="B9" s="8">
        <v>32</v>
      </c>
    </row>
    <row r="10" spans="1:2">
      <c r="A10" s="4" t="s">
        <v>17</v>
      </c>
      <c r="B10" s="8">
        <v>33</v>
      </c>
    </row>
    <row r="11" spans="1:2">
      <c r="A11" s="4" t="s">
        <v>23</v>
      </c>
      <c r="B11" s="8">
        <v>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5189-73CB-4CE1-AF8D-DE366A8F7066}">
  <dimension ref="A3:B6"/>
  <sheetViews>
    <sheetView workbookViewId="0">
      <selection activeCell="N22" sqref="N22"/>
    </sheetView>
  </sheetViews>
  <sheetFormatPr defaultRowHeight="13.8"/>
  <cols>
    <col min="1" max="1" width="13.09765625" bestFit="1" customWidth="1"/>
    <col min="2" max="2" width="31.69921875" bestFit="1" customWidth="1"/>
  </cols>
  <sheetData>
    <row r="3" spans="1:2">
      <c r="A3" s="3" t="s">
        <v>22</v>
      </c>
      <c r="B3" t="s">
        <v>9</v>
      </c>
    </row>
    <row r="4" spans="1:2">
      <c r="A4" s="4" t="s">
        <v>2</v>
      </c>
      <c r="B4" s="5">
        <v>51.526785714285715</v>
      </c>
    </row>
    <row r="5" spans="1:2">
      <c r="A5" s="4" t="s">
        <v>1</v>
      </c>
      <c r="B5" s="5">
        <v>48.511363636363633</v>
      </c>
    </row>
    <row r="6" spans="1:2">
      <c r="A6" s="4" t="s">
        <v>23</v>
      </c>
      <c r="B6" s="8">
        <v>50.2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Shopping Mall Survey Report</vt:lpstr>
      <vt:lpstr>KPI</vt:lpstr>
      <vt:lpstr>Gender VS Avg Spending Score</vt:lpstr>
      <vt:lpstr>Gender wise spending and income</vt:lpstr>
      <vt:lpstr>Year-wise spending and income</vt:lpstr>
      <vt:lpstr>Day wise Men-female spending </vt:lpstr>
      <vt:lpstr>Customer preferred day of shopp</vt:lpstr>
      <vt:lpstr>Gender VS Avg Spending Scor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Mahajan, Pranav</dc:creator>
  <cp:lastModifiedBy>admin</cp:lastModifiedBy>
  <dcterms:created xsi:type="dcterms:W3CDTF">2026-04-05T08:39:02Z</dcterms:created>
  <dcterms:modified xsi:type="dcterms:W3CDTF">2026-04-07T07:55:33Z</dcterms:modified>
</cp:coreProperties>
</file>